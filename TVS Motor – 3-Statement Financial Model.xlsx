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ilversurfer/Desktop/"/>
    </mc:Choice>
  </mc:AlternateContent>
  <xr:revisionPtr revIDLastSave="0" documentId="13_ncr:1_{F739A610-1485-8340-B717-6B4E716A55E7}" xr6:coauthVersionLast="47" xr6:coauthVersionMax="47" xr10:uidLastSave="{00000000-0000-0000-0000-000000000000}"/>
  <bookViews>
    <workbookView xWindow="0" yWindow="600" windowWidth="28160" windowHeight="17020" tabRatio="500" activeTab="5" xr2:uid="{00000000-000D-0000-FFFF-FFFF00000000}"/>
  </bookViews>
  <sheets>
    <sheet name="Data Sheet" sheetId="1" r:id="rId1"/>
    <sheet name="Cash Flow Sheet" sheetId="2" r:id="rId2"/>
    <sheet name="Historical FS" sheetId="3" r:id="rId3"/>
    <sheet name="Ratio Analysis" sheetId="4" r:id="rId4"/>
    <sheet name="Drivers" sheetId="5" r:id="rId5"/>
    <sheet name="Forecast" sheetId="6" r:id="rId6"/>
  </sheet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7" i="6" l="1"/>
  <c r="E87" i="6" s="1"/>
  <c r="F87" i="6" s="1"/>
  <c r="G87" i="6" s="1"/>
  <c r="H87" i="6" s="1"/>
  <c r="D86" i="6"/>
  <c r="E86" i="6" s="1"/>
  <c r="F86" i="6" s="1"/>
  <c r="G86" i="6" s="1"/>
  <c r="H86" i="6" s="1"/>
  <c r="D79" i="6"/>
  <c r="E79" i="6" s="1"/>
  <c r="D66" i="6"/>
  <c r="E66" i="6" s="1"/>
  <c r="F66" i="6" s="1"/>
  <c r="G66" i="6" s="1"/>
  <c r="D81" i="6"/>
  <c r="E81" i="6" s="1"/>
  <c r="E48" i="6" s="1"/>
  <c r="E131" i="6" s="1"/>
  <c r="D8" i="3"/>
  <c r="E8" i="3"/>
  <c r="E9" i="3" s="1"/>
  <c r="F8" i="3"/>
  <c r="F11" i="3" s="1"/>
  <c r="F10" i="4" s="1"/>
  <c r="G8" i="3"/>
  <c r="H8" i="3"/>
  <c r="I8" i="3"/>
  <c r="J8" i="3"/>
  <c r="K8" i="3"/>
  <c r="K9" i="3" s="1"/>
  <c r="F6" i="5" s="1"/>
  <c r="L8" i="3"/>
  <c r="C8" i="3"/>
  <c r="D33" i="6"/>
  <c r="E33" i="6" s="1"/>
  <c r="F33" i="6" s="1"/>
  <c r="G33" i="6" s="1"/>
  <c r="H33" i="6" s="1"/>
  <c r="H82" i="6" s="1"/>
  <c r="D4" i="6"/>
  <c r="E4" i="6" s="1"/>
  <c r="F4" i="6" s="1"/>
  <c r="G4" i="6" s="1"/>
  <c r="H4" i="6" s="1"/>
  <c r="B3" i="6"/>
  <c r="I39" i="4"/>
  <c r="C37" i="4"/>
  <c r="I28" i="4"/>
  <c r="G27" i="4"/>
  <c r="G33" i="4" s="1"/>
  <c r="H7" i="4"/>
  <c r="C3" i="4"/>
  <c r="K105" i="3"/>
  <c r="I105" i="3"/>
  <c r="L104" i="3"/>
  <c r="K104" i="3"/>
  <c r="J104" i="3"/>
  <c r="I104" i="3"/>
  <c r="H104" i="3"/>
  <c r="G104" i="3"/>
  <c r="F104" i="3"/>
  <c r="E104" i="3"/>
  <c r="D104" i="3"/>
  <c r="C104" i="3"/>
  <c r="L103" i="3"/>
  <c r="K103" i="3"/>
  <c r="J103" i="3"/>
  <c r="I103" i="3"/>
  <c r="H103" i="3"/>
  <c r="G103" i="3"/>
  <c r="F103" i="3"/>
  <c r="E103" i="3"/>
  <c r="D103" i="3"/>
  <c r="C103" i="3"/>
  <c r="L102" i="3"/>
  <c r="K102" i="3"/>
  <c r="J102" i="3"/>
  <c r="I102" i="3"/>
  <c r="H102" i="3"/>
  <c r="G102" i="3"/>
  <c r="F102" i="3"/>
  <c r="E102" i="3"/>
  <c r="D102" i="3"/>
  <c r="C102" i="3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J105" i="3" s="1"/>
  <c r="I99" i="3"/>
  <c r="H99" i="3"/>
  <c r="G99" i="3"/>
  <c r="F99" i="3"/>
  <c r="E99" i="3"/>
  <c r="D99" i="3"/>
  <c r="D105" i="3" s="1"/>
  <c r="C99" i="3"/>
  <c r="C105" i="3" s="1"/>
  <c r="L98" i="3"/>
  <c r="K98" i="3"/>
  <c r="J98" i="3"/>
  <c r="I98" i="3"/>
  <c r="H98" i="3"/>
  <c r="G98" i="3"/>
  <c r="F98" i="3"/>
  <c r="E98" i="3"/>
  <c r="D98" i="3"/>
  <c r="C98" i="3"/>
  <c r="L97" i="3"/>
  <c r="L105" i="3" s="1"/>
  <c r="K97" i="3"/>
  <c r="J97" i="3"/>
  <c r="I97" i="3"/>
  <c r="H97" i="3"/>
  <c r="G97" i="3"/>
  <c r="F97" i="3"/>
  <c r="F105" i="3" s="1"/>
  <c r="E97" i="3"/>
  <c r="E105" i="3" s="1"/>
  <c r="D97" i="3"/>
  <c r="C97" i="3"/>
  <c r="K94" i="3"/>
  <c r="E94" i="3"/>
  <c r="E107" i="3" s="1"/>
  <c r="L93" i="3"/>
  <c r="K93" i="3"/>
  <c r="J93" i="3"/>
  <c r="I93" i="3"/>
  <c r="H93" i="3"/>
  <c r="G93" i="3"/>
  <c r="F93" i="3"/>
  <c r="E93" i="3"/>
  <c r="D93" i="3"/>
  <c r="C93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J94" i="3" s="1"/>
  <c r="I85" i="3"/>
  <c r="H85" i="3"/>
  <c r="G85" i="3"/>
  <c r="F85" i="3"/>
  <c r="E85" i="3"/>
  <c r="D85" i="3"/>
  <c r="D94" i="3" s="1"/>
  <c r="C85" i="3"/>
  <c r="L84" i="3"/>
  <c r="K84" i="3"/>
  <c r="J84" i="3"/>
  <c r="I84" i="3"/>
  <c r="I94" i="3" s="1"/>
  <c r="H84" i="3"/>
  <c r="G84" i="3"/>
  <c r="F84" i="3"/>
  <c r="E84" i="3"/>
  <c r="D84" i="3"/>
  <c r="C84" i="3"/>
  <c r="C94" i="3" s="1"/>
  <c r="L83" i="3"/>
  <c r="K83" i="3"/>
  <c r="J83" i="3"/>
  <c r="I83" i="3"/>
  <c r="H83" i="3"/>
  <c r="H94" i="3" s="1"/>
  <c r="G83" i="3"/>
  <c r="G94" i="3" s="1"/>
  <c r="F83" i="3"/>
  <c r="F94" i="3" s="1"/>
  <c r="E83" i="3"/>
  <c r="D83" i="3"/>
  <c r="C83" i="3"/>
  <c r="K80" i="3"/>
  <c r="I80" i="3"/>
  <c r="L79" i="3"/>
  <c r="K79" i="3"/>
  <c r="J79" i="3"/>
  <c r="I79" i="3"/>
  <c r="H79" i="3"/>
  <c r="G79" i="3"/>
  <c r="F79" i="3"/>
  <c r="E79" i="3"/>
  <c r="D79" i="3"/>
  <c r="C79" i="3"/>
  <c r="L78" i="3"/>
  <c r="K78" i="3"/>
  <c r="J78" i="3"/>
  <c r="I78" i="3"/>
  <c r="H78" i="3"/>
  <c r="G78" i="3"/>
  <c r="F78" i="3"/>
  <c r="E78" i="3"/>
  <c r="D78" i="3"/>
  <c r="C78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J80" i="3" s="1"/>
  <c r="I74" i="3"/>
  <c r="H74" i="3"/>
  <c r="G74" i="3"/>
  <c r="F74" i="3"/>
  <c r="E74" i="3"/>
  <c r="E80" i="3" s="1"/>
  <c r="D74" i="3"/>
  <c r="D80" i="3" s="1"/>
  <c r="C74" i="3"/>
  <c r="L73" i="3"/>
  <c r="K73" i="3"/>
  <c r="J73" i="3"/>
  <c r="I73" i="3"/>
  <c r="H73" i="3"/>
  <c r="H80" i="3" s="1"/>
  <c r="G73" i="3"/>
  <c r="F73" i="3"/>
  <c r="E73" i="3"/>
  <c r="D73" i="3"/>
  <c r="C73" i="3"/>
  <c r="C80" i="3" s="1"/>
  <c r="L72" i="3"/>
  <c r="L80" i="3" s="1"/>
  <c r="K72" i="3"/>
  <c r="J72" i="3"/>
  <c r="I72" i="3"/>
  <c r="H72" i="3"/>
  <c r="G72" i="3"/>
  <c r="G80" i="3" s="1"/>
  <c r="F72" i="3"/>
  <c r="F80" i="3" s="1"/>
  <c r="E72" i="3"/>
  <c r="D72" i="3"/>
  <c r="C72" i="3"/>
  <c r="L61" i="3" a="1"/>
  <c r="L61" i="3"/>
  <c r="K61" i="3" a="1"/>
  <c r="K63" i="3" s="1"/>
  <c r="K61" i="3"/>
  <c r="J63" i="3"/>
  <c r="J62" i="3"/>
  <c r="J61" i="3" a="1"/>
  <c r="J61" i="3" s="1"/>
  <c r="I63" i="3"/>
  <c r="I62" i="3"/>
  <c r="I61" i="3" a="1"/>
  <c r="I61" i="3"/>
  <c r="H61" i="3" a="1"/>
  <c r="H61" i="3"/>
  <c r="G63" i="3"/>
  <c r="G61" i="3" a="1"/>
  <c r="F61" i="3" a="1"/>
  <c r="E61" i="3" a="1"/>
  <c r="D63" i="3"/>
  <c r="D62" i="3"/>
  <c r="D61" i="3" a="1"/>
  <c r="D61" i="3" s="1"/>
  <c r="C63" i="3"/>
  <c r="C62" i="3"/>
  <c r="C61" i="3" a="1"/>
  <c r="C61" i="3"/>
  <c r="C64" i="3" s="1"/>
  <c r="L59" i="3"/>
  <c r="H59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F59" i="3" s="1"/>
  <c r="E57" i="3"/>
  <c r="D57" i="3"/>
  <c r="C57" i="3"/>
  <c r="L56" i="3"/>
  <c r="K56" i="3"/>
  <c r="J56" i="3"/>
  <c r="J59" i="3" s="1"/>
  <c r="I56" i="3"/>
  <c r="I59" i="3" s="1"/>
  <c r="H56" i="3"/>
  <c r="G56" i="3"/>
  <c r="F56" i="3"/>
  <c r="E56" i="3"/>
  <c r="D56" i="3"/>
  <c r="D59" i="3" s="1"/>
  <c r="C56" i="3"/>
  <c r="C59" i="3" s="1"/>
  <c r="L55" i="3"/>
  <c r="K55" i="3"/>
  <c r="J55" i="3"/>
  <c r="I55" i="3"/>
  <c r="H55" i="3"/>
  <c r="G55" i="3"/>
  <c r="G59" i="3" s="1"/>
  <c r="F55" i="3"/>
  <c r="E55" i="3"/>
  <c r="D55" i="3"/>
  <c r="C55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F26" i="5" s="1"/>
  <c r="J51" i="3"/>
  <c r="I51" i="3"/>
  <c r="H51" i="3"/>
  <c r="G51" i="3"/>
  <c r="C26" i="5" s="1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G22" i="4" s="1"/>
  <c r="F49" i="3"/>
  <c r="E49" i="3"/>
  <c r="D49" i="3"/>
  <c r="C49" i="3"/>
  <c r="L43" i="3"/>
  <c r="I43" i="3"/>
  <c r="G43" i="3"/>
  <c r="F43" i="3"/>
  <c r="C43" i="3"/>
  <c r="K40" i="3"/>
  <c r="I40" i="3"/>
  <c r="G40" i="3"/>
  <c r="L38" i="3"/>
  <c r="K38" i="3"/>
  <c r="K43" i="3" s="1"/>
  <c r="J38" i="3"/>
  <c r="J43" i="3" s="1"/>
  <c r="I38" i="3"/>
  <c r="H38" i="3"/>
  <c r="H43" i="3" s="1"/>
  <c r="G38" i="3"/>
  <c r="F38" i="3"/>
  <c r="E38" i="3"/>
  <c r="E43" i="3" s="1"/>
  <c r="D38" i="3"/>
  <c r="D43" i="3" s="1"/>
  <c r="C38" i="3"/>
  <c r="L36" i="3"/>
  <c r="L14" i="4" s="1"/>
  <c r="F36" i="3"/>
  <c r="F14" i="4" s="1"/>
  <c r="E36" i="3"/>
  <c r="E14" i="4" s="1"/>
  <c r="L35" i="3"/>
  <c r="L7" i="4" s="1"/>
  <c r="K35" i="3"/>
  <c r="J35" i="3"/>
  <c r="I35" i="3"/>
  <c r="H35" i="3"/>
  <c r="G35" i="3"/>
  <c r="G36" i="3" s="1"/>
  <c r="G14" i="4" s="1"/>
  <c r="F35" i="3"/>
  <c r="E35" i="3"/>
  <c r="D35" i="3"/>
  <c r="C35" i="3"/>
  <c r="L32" i="3"/>
  <c r="K32" i="3"/>
  <c r="J32" i="3"/>
  <c r="I32" i="3"/>
  <c r="H32" i="3"/>
  <c r="G32" i="3"/>
  <c r="F32" i="3"/>
  <c r="E32" i="3"/>
  <c r="D32" i="3"/>
  <c r="C32" i="3"/>
  <c r="L24" i="3"/>
  <c r="L17" i="4" s="1"/>
  <c r="G24" i="3"/>
  <c r="G17" i="4" s="1"/>
  <c r="E24" i="3"/>
  <c r="E17" i="4" s="1"/>
  <c r="L23" i="3"/>
  <c r="K23" i="3"/>
  <c r="K24" i="3" s="1"/>
  <c r="J23" i="3"/>
  <c r="I23" i="3"/>
  <c r="H23" i="3"/>
  <c r="H24" i="3" s="1"/>
  <c r="G23" i="3"/>
  <c r="F23" i="3"/>
  <c r="F24" i="3" s="1"/>
  <c r="F17" i="4" s="1"/>
  <c r="E23" i="3"/>
  <c r="D23" i="3"/>
  <c r="C23" i="3"/>
  <c r="L21" i="3"/>
  <c r="H21" i="3"/>
  <c r="G21" i="3"/>
  <c r="L20" i="3"/>
  <c r="G12" i="5" s="1"/>
  <c r="K20" i="3"/>
  <c r="K21" i="3" s="1"/>
  <c r="J20" i="3"/>
  <c r="I20" i="3"/>
  <c r="H20" i="3"/>
  <c r="G20" i="3"/>
  <c r="F20" i="3"/>
  <c r="F21" i="3" s="1"/>
  <c r="E20" i="3"/>
  <c r="E21" i="3" s="1"/>
  <c r="D20" i="3"/>
  <c r="D21" i="3" s="1"/>
  <c r="C20" i="3"/>
  <c r="L15" i="3"/>
  <c r="L16" i="4" s="1"/>
  <c r="G15" i="3"/>
  <c r="G16" i="4" s="1"/>
  <c r="F15" i="3"/>
  <c r="F16" i="4" s="1"/>
  <c r="D15" i="3"/>
  <c r="D16" i="4" s="1"/>
  <c r="L14" i="3"/>
  <c r="K14" i="3"/>
  <c r="K15" i="3" s="1"/>
  <c r="J14" i="3"/>
  <c r="I14" i="3"/>
  <c r="I15" i="3" s="1"/>
  <c r="I16" i="4" s="1"/>
  <c r="H14" i="3"/>
  <c r="G14" i="3"/>
  <c r="F14" i="3"/>
  <c r="E14" i="3"/>
  <c r="E15" i="3" s="1"/>
  <c r="E16" i="4" s="1"/>
  <c r="D14" i="3"/>
  <c r="C14" i="3"/>
  <c r="C15" i="3" s="1"/>
  <c r="C16" i="4" s="1"/>
  <c r="K11" i="3"/>
  <c r="H11" i="3"/>
  <c r="H10" i="4" s="1"/>
  <c r="L11" i="3"/>
  <c r="L17" i="3" s="1"/>
  <c r="L26" i="3" s="1"/>
  <c r="J9" i="3"/>
  <c r="E6" i="5" s="1"/>
  <c r="I9" i="3"/>
  <c r="D6" i="5" s="1"/>
  <c r="D9" i="3"/>
  <c r="C9" i="3"/>
  <c r="L6" i="3"/>
  <c r="L5" i="4" s="1"/>
  <c r="G6" i="3"/>
  <c r="G5" i="4" s="1"/>
  <c r="F6" i="3"/>
  <c r="F5" i="4" s="1"/>
  <c r="E6" i="3"/>
  <c r="E5" i="4" s="1"/>
  <c r="L5" i="3"/>
  <c r="K5" i="3"/>
  <c r="J5" i="3"/>
  <c r="I5" i="3"/>
  <c r="I37" i="4" s="1"/>
  <c r="H5" i="3"/>
  <c r="H36" i="3" s="1"/>
  <c r="H14" i="4" s="1"/>
  <c r="G5" i="3"/>
  <c r="G29" i="4" s="1"/>
  <c r="F5" i="3"/>
  <c r="E5" i="3"/>
  <c r="D5" i="3"/>
  <c r="C5" i="3"/>
  <c r="C3" i="3"/>
  <c r="B2" i="3"/>
  <c r="B6" i="1"/>
  <c r="E1" i="1"/>
  <c r="E26" i="5"/>
  <c r="D26" i="5"/>
  <c r="F24" i="5"/>
  <c r="E24" i="5"/>
  <c r="D24" i="5"/>
  <c r="C24" i="5"/>
  <c r="F12" i="5"/>
  <c r="D12" i="5"/>
  <c r="C12" i="5"/>
  <c r="G10" i="5"/>
  <c r="D8" i="5"/>
  <c r="B1" i="5"/>
  <c r="D51" i="6" l="1"/>
  <c r="D52" i="6" s="1"/>
  <c r="G4" i="5"/>
  <c r="D113" i="6"/>
  <c r="D128" i="6"/>
  <c r="E128" i="6"/>
  <c r="F82" i="6"/>
  <c r="H113" i="6"/>
  <c r="G113" i="6"/>
  <c r="F113" i="6"/>
  <c r="E49" i="6"/>
  <c r="E113" i="6"/>
  <c r="F8" i="4"/>
  <c r="K44" i="3"/>
  <c r="F16" i="5" s="1"/>
  <c r="D48" i="6"/>
  <c r="D131" i="6" s="1"/>
  <c r="G88" i="6"/>
  <c r="G91" i="6"/>
  <c r="H34" i="6"/>
  <c r="G82" i="6"/>
  <c r="H105" i="6" s="1"/>
  <c r="H88" i="6"/>
  <c r="H91" i="6"/>
  <c r="F34" i="6"/>
  <c r="E82" i="6"/>
  <c r="F88" i="6"/>
  <c r="F91" i="6"/>
  <c r="E88" i="6"/>
  <c r="E91" i="6"/>
  <c r="E34" i="6"/>
  <c r="D82" i="6"/>
  <c r="D105" i="6" s="1"/>
  <c r="D85" i="6"/>
  <c r="D88" i="6"/>
  <c r="D123" i="6" s="1"/>
  <c r="D91" i="6"/>
  <c r="D103" i="6" s="1"/>
  <c r="G34" i="6"/>
  <c r="F81" i="6"/>
  <c r="F79" i="6"/>
  <c r="H66" i="6"/>
  <c r="F9" i="3"/>
  <c r="F12" i="3"/>
  <c r="F17" i="3"/>
  <c r="F18" i="3" s="1"/>
  <c r="F11" i="4" s="1"/>
  <c r="D42" i="6"/>
  <c r="D43" i="6" s="1"/>
  <c r="D36" i="6"/>
  <c r="K16" i="4"/>
  <c r="F8" i="5"/>
  <c r="H17" i="4"/>
  <c r="C10" i="5"/>
  <c r="H12" i="3"/>
  <c r="H8" i="4"/>
  <c r="J11" i="3"/>
  <c r="L24" i="4"/>
  <c r="L20" i="4"/>
  <c r="L27" i="3"/>
  <c r="L12" i="4" s="1"/>
  <c r="L18" i="4" s="1"/>
  <c r="D29" i="4"/>
  <c r="D28" i="4"/>
  <c r="D27" i="4"/>
  <c r="D33" i="4" s="1"/>
  <c r="D26" i="4"/>
  <c r="D32" i="4" s="1"/>
  <c r="D6" i="3"/>
  <c r="D5" i="4" s="1"/>
  <c r="J29" i="4"/>
  <c r="J28" i="4"/>
  <c r="J27" i="4"/>
  <c r="J33" i="4" s="1"/>
  <c r="E22" i="5" s="1"/>
  <c r="J26" i="4"/>
  <c r="J32" i="4" s="1"/>
  <c r="K6" i="3"/>
  <c r="J6" i="3"/>
  <c r="D11" i="3"/>
  <c r="K17" i="4"/>
  <c r="F10" i="5"/>
  <c r="C22" i="4"/>
  <c r="C36" i="3"/>
  <c r="C14" i="4" s="1"/>
  <c r="C40" i="3"/>
  <c r="C44" i="3" s="1"/>
  <c r="C46" i="3" s="1"/>
  <c r="C21" i="4" s="1"/>
  <c r="I7" i="4"/>
  <c r="I36" i="3"/>
  <c r="I14" i="4" s="1"/>
  <c r="I22" i="4"/>
  <c r="I8" i="4"/>
  <c r="I44" i="3"/>
  <c r="F63" i="3"/>
  <c r="F61" i="3"/>
  <c r="F64" i="3" s="1"/>
  <c r="F66" i="3" s="1"/>
  <c r="F68" i="3" s="1"/>
  <c r="F62" i="3"/>
  <c r="F34" i="4" s="1"/>
  <c r="F39" i="4"/>
  <c r="F37" i="4"/>
  <c r="F107" i="3"/>
  <c r="L39" i="4"/>
  <c r="L37" i="4"/>
  <c r="H39" i="4"/>
  <c r="H37" i="4"/>
  <c r="D107" i="3"/>
  <c r="D39" i="4"/>
  <c r="D37" i="4"/>
  <c r="J107" i="3"/>
  <c r="J39" i="4"/>
  <c r="J37" i="4"/>
  <c r="K39" i="4"/>
  <c r="K37" i="4"/>
  <c r="K107" i="3"/>
  <c r="H9" i="3"/>
  <c r="C6" i="5" s="1"/>
  <c r="L29" i="3"/>
  <c r="L30" i="3" s="1"/>
  <c r="L13" i="4" s="1"/>
  <c r="L18" i="3"/>
  <c r="L11" i="4" s="1"/>
  <c r="D7" i="4"/>
  <c r="D22" i="4"/>
  <c r="J7" i="4"/>
  <c r="J22" i="4"/>
  <c r="J36" i="3"/>
  <c r="J14" i="4" s="1"/>
  <c r="D40" i="3"/>
  <c r="D44" i="3" s="1"/>
  <c r="D46" i="3" s="1"/>
  <c r="D21" i="4" s="1"/>
  <c r="L8" i="4"/>
  <c r="G61" i="3"/>
  <c r="G64" i="3" s="1"/>
  <c r="G66" i="3" s="1"/>
  <c r="G62" i="3"/>
  <c r="G34" i="4" s="1"/>
  <c r="I34" i="4"/>
  <c r="D20" i="5" s="1"/>
  <c r="G8" i="4"/>
  <c r="J21" i="3"/>
  <c r="E12" i="5"/>
  <c r="H12" i="5" s="1"/>
  <c r="C15" i="6" s="1"/>
  <c r="D34" i="4"/>
  <c r="H29" i="4"/>
  <c r="H28" i="4"/>
  <c r="H27" i="4"/>
  <c r="H33" i="4" s="1"/>
  <c r="C22" i="5" s="1"/>
  <c r="H26" i="4"/>
  <c r="H32" i="4" s="1"/>
  <c r="H6" i="3"/>
  <c r="K10" i="4"/>
  <c r="K17" i="3"/>
  <c r="L6" i="4" s="1"/>
  <c r="K12" i="3"/>
  <c r="D36" i="3"/>
  <c r="D14" i="4" s="1"/>
  <c r="D8" i="4"/>
  <c r="J8" i="4"/>
  <c r="J40" i="3"/>
  <c r="C66" i="3"/>
  <c r="L94" i="3"/>
  <c r="L107" i="3" s="1"/>
  <c r="G24" i="5"/>
  <c r="H24" i="5" s="1"/>
  <c r="C27" i="6" s="1"/>
  <c r="H105" i="3"/>
  <c r="H107" i="3" s="1"/>
  <c r="C34" i="4"/>
  <c r="C29" i="4"/>
  <c r="C28" i="4"/>
  <c r="C27" i="4"/>
  <c r="C26" i="4"/>
  <c r="C11" i="3"/>
  <c r="C21" i="3"/>
  <c r="I11" i="3"/>
  <c r="I6" i="3"/>
  <c r="I27" i="4"/>
  <c r="I33" i="4" s="1"/>
  <c r="D22" i="5" s="1"/>
  <c r="I21" i="3"/>
  <c r="I29" i="4"/>
  <c r="I26" i="4"/>
  <c r="I32" i="4" s="1"/>
  <c r="L10" i="4"/>
  <c r="L12" i="3"/>
  <c r="L9" i="3"/>
  <c r="G6" i="5" s="1"/>
  <c r="H6" i="5" s="1"/>
  <c r="J15" i="3"/>
  <c r="H15" i="3"/>
  <c r="H17" i="3"/>
  <c r="D24" i="3"/>
  <c r="D17" i="4" s="1"/>
  <c r="J24" i="3"/>
  <c r="I64" i="3"/>
  <c r="I66" i="3" s="1"/>
  <c r="I68" i="3" s="1"/>
  <c r="I107" i="3"/>
  <c r="D3" i="3"/>
  <c r="C3" i="2"/>
  <c r="G9" i="3"/>
  <c r="G11" i="3"/>
  <c r="C24" i="3"/>
  <c r="C17" i="4" s="1"/>
  <c r="I24" i="3"/>
  <c r="H22" i="4"/>
  <c r="H40" i="3"/>
  <c r="H41" i="3" s="1"/>
  <c r="G44" i="3"/>
  <c r="G46" i="3" s="1"/>
  <c r="G21" i="4" s="1"/>
  <c r="G23" i="4" s="1"/>
  <c r="E59" i="3"/>
  <c r="K59" i="3"/>
  <c r="D64" i="3"/>
  <c r="D66" i="3" s="1"/>
  <c r="D68" i="3" s="1"/>
  <c r="G37" i="4"/>
  <c r="C107" i="3"/>
  <c r="E39" i="4"/>
  <c r="E37" i="4"/>
  <c r="G28" i="4"/>
  <c r="C39" i="4"/>
  <c r="E62" i="3"/>
  <c r="E34" i="4" s="1"/>
  <c r="E61" i="3"/>
  <c r="E64" i="3" s="1"/>
  <c r="E63" i="3"/>
  <c r="J64" i="3"/>
  <c r="J66" i="3" s="1"/>
  <c r="J68" i="3" s="1"/>
  <c r="L63" i="3"/>
  <c r="L62" i="3"/>
  <c r="L34" i="4" s="1"/>
  <c r="G20" i="5" s="1"/>
  <c r="G8" i="5"/>
  <c r="G26" i="5"/>
  <c r="H26" i="5" s="1"/>
  <c r="C29" i="6" s="1"/>
  <c r="E29" i="4"/>
  <c r="E28" i="4"/>
  <c r="E27" i="4"/>
  <c r="E33" i="4" s="1"/>
  <c r="K29" i="4"/>
  <c r="K28" i="4"/>
  <c r="K27" i="4"/>
  <c r="K33" i="4" s="1"/>
  <c r="F22" i="5" s="1"/>
  <c r="K26" i="4"/>
  <c r="K32" i="4" s="1"/>
  <c r="E11" i="3"/>
  <c r="F22" i="4"/>
  <c r="F40" i="3"/>
  <c r="L22" i="4"/>
  <c r="L40" i="3"/>
  <c r="L41" i="3" s="1"/>
  <c r="K36" i="3"/>
  <c r="K14" i="4" s="1"/>
  <c r="H62" i="3"/>
  <c r="H34" i="4" s="1"/>
  <c r="C20" i="5" s="1"/>
  <c r="H63" i="3"/>
  <c r="H64" i="3" s="1"/>
  <c r="H66" i="3" s="1"/>
  <c r="F7" i="4"/>
  <c r="E8" i="4"/>
  <c r="K8" i="4"/>
  <c r="G7" i="4"/>
  <c r="G39" i="4"/>
  <c r="F29" i="4"/>
  <c r="F28" i="4"/>
  <c r="F27" i="4"/>
  <c r="F33" i="4" s="1"/>
  <c r="L29" i="4"/>
  <c r="L28" i="4"/>
  <c r="L27" i="4"/>
  <c r="L33" i="4" s="1"/>
  <c r="G22" i="5" s="1"/>
  <c r="L26" i="4"/>
  <c r="L32" i="4" s="1"/>
  <c r="E7" i="4"/>
  <c r="E22" i="4"/>
  <c r="K7" i="4"/>
  <c r="K22" i="4"/>
  <c r="E40" i="3"/>
  <c r="J34" i="4"/>
  <c r="E20" i="5" s="1"/>
  <c r="G105" i="3"/>
  <c r="G107" i="3"/>
  <c r="K62" i="3"/>
  <c r="I38" i="4" l="1"/>
  <c r="J38" i="4"/>
  <c r="D124" i="6"/>
  <c r="D23" i="4"/>
  <c r="M37" i="4"/>
  <c r="K46" i="3"/>
  <c r="K21" i="4" s="1"/>
  <c r="K23" i="4" s="1"/>
  <c r="E66" i="3"/>
  <c r="E68" i="3" s="1"/>
  <c r="G123" i="6"/>
  <c r="G124" i="6" s="1"/>
  <c r="G81" i="6"/>
  <c r="G48" i="6" s="1"/>
  <c r="G131" i="6" s="1"/>
  <c r="F128" i="6"/>
  <c r="D49" i="6"/>
  <c r="E105" i="6"/>
  <c r="G103" i="6"/>
  <c r="F105" i="6"/>
  <c r="F123" i="6"/>
  <c r="F124" i="6" s="1"/>
  <c r="E103" i="6"/>
  <c r="H103" i="6"/>
  <c r="E123" i="6"/>
  <c r="E124" i="6" s="1"/>
  <c r="H123" i="6"/>
  <c r="H124" i="6" s="1"/>
  <c r="F103" i="6"/>
  <c r="G105" i="6"/>
  <c r="E41" i="3"/>
  <c r="I41" i="3"/>
  <c r="L44" i="3"/>
  <c r="L46" i="3" s="1"/>
  <c r="L21" i="4" s="1"/>
  <c r="L23" i="4" s="1"/>
  <c r="H44" i="3"/>
  <c r="H46" i="3" s="1"/>
  <c r="H21" i="4" s="1"/>
  <c r="H23" i="4" s="1"/>
  <c r="D39" i="6"/>
  <c r="D92" i="6"/>
  <c r="D104" i="6" s="1"/>
  <c r="D108" i="6" s="1"/>
  <c r="D37" i="6"/>
  <c r="D89" i="6"/>
  <c r="G79" i="6"/>
  <c r="F48" i="6"/>
  <c r="F131" i="6" s="1"/>
  <c r="F26" i="3"/>
  <c r="F29" i="3"/>
  <c r="E42" i="6"/>
  <c r="E43" i="6" s="1"/>
  <c r="E51" i="6"/>
  <c r="E52" i="6" s="1"/>
  <c r="E36" i="6"/>
  <c r="H68" i="3"/>
  <c r="H38" i="4"/>
  <c r="F41" i="3"/>
  <c r="G41" i="3"/>
  <c r="F44" i="3"/>
  <c r="F46" i="3" s="1"/>
  <c r="F21" i="4" s="1"/>
  <c r="F23" i="4" s="1"/>
  <c r="H16" i="4"/>
  <c r="C8" i="5"/>
  <c r="H5" i="4"/>
  <c r="C4" i="5"/>
  <c r="K34" i="4"/>
  <c r="F20" i="5" s="1"/>
  <c r="H20" i="5" s="1"/>
  <c r="C23" i="6" s="1"/>
  <c r="K64" i="3"/>
  <c r="K66" i="3" s="1"/>
  <c r="E26" i="4"/>
  <c r="E32" i="4" s="1"/>
  <c r="E35" i="4" s="1"/>
  <c r="H35" i="4"/>
  <c r="C18" i="5"/>
  <c r="I12" i="3"/>
  <c r="I17" i="3"/>
  <c r="I10" i="4"/>
  <c r="M29" i="4"/>
  <c r="N29" i="4"/>
  <c r="J44" i="3"/>
  <c r="J41" i="3"/>
  <c r="K26" i="3"/>
  <c r="K18" i="3"/>
  <c r="K11" i="4" s="1"/>
  <c r="K29" i="3"/>
  <c r="N37" i="4"/>
  <c r="M22" i="4"/>
  <c r="N22" i="4"/>
  <c r="J35" i="4"/>
  <c r="E18" i="5"/>
  <c r="I12" i="5"/>
  <c r="E44" i="3"/>
  <c r="E46" i="3" s="1"/>
  <c r="E21" i="4" s="1"/>
  <c r="E23" i="4" s="1"/>
  <c r="L35" i="4"/>
  <c r="G18" i="5"/>
  <c r="G26" i="4"/>
  <c r="G32" i="4" s="1"/>
  <c r="G35" i="4" s="1"/>
  <c r="N39" i="4"/>
  <c r="M39" i="4"/>
  <c r="D3" i="4"/>
  <c r="D3" i="2"/>
  <c r="E3" i="3"/>
  <c r="H26" i="3"/>
  <c r="H29" i="3"/>
  <c r="H18" i="3"/>
  <c r="H11" i="4" s="1"/>
  <c r="D18" i="5"/>
  <c r="I35" i="4"/>
  <c r="H22" i="5"/>
  <c r="J10" i="4"/>
  <c r="J12" i="3"/>
  <c r="J17" i="3"/>
  <c r="I17" i="4"/>
  <c r="D10" i="5"/>
  <c r="C10" i="4"/>
  <c r="C12" i="3"/>
  <c r="C17" i="3"/>
  <c r="G68" i="3"/>
  <c r="G38" i="4"/>
  <c r="J16" i="4"/>
  <c r="E8" i="5"/>
  <c r="H8" i="5" s="1"/>
  <c r="C11" i="6" s="1"/>
  <c r="C32" i="4"/>
  <c r="M8" i="4"/>
  <c r="N8" i="4"/>
  <c r="D10" i="4"/>
  <c r="D12" i="3"/>
  <c r="D17" i="3"/>
  <c r="I24" i="5"/>
  <c r="L64" i="3"/>
  <c r="L66" i="3" s="1"/>
  <c r="E10" i="4"/>
  <c r="E17" i="3"/>
  <c r="E12" i="3"/>
  <c r="K41" i="3"/>
  <c r="E38" i="4"/>
  <c r="G17" i="3"/>
  <c r="H6" i="4" s="1"/>
  <c r="G10" i="4"/>
  <c r="G12" i="3"/>
  <c r="M27" i="4"/>
  <c r="C33" i="4"/>
  <c r="N27" i="4"/>
  <c r="I22" i="5"/>
  <c r="C25" i="6" s="1"/>
  <c r="N7" i="4"/>
  <c r="M7" i="4"/>
  <c r="I6" i="5"/>
  <c r="C9" i="6" s="1"/>
  <c r="D38" i="4"/>
  <c r="C23" i="4"/>
  <c r="J5" i="4"/>
  <c r="E4" i="5"/>
  <c r="L33" i="3"/>
  <c r="G14" i="5" s="1"/>
  <c r="I26" i="5"/>
  <c r="F26" i="4"/>
  <c r="F32" i="4" s="1"/>
  <c r="F35" i="4" s="1"/>
  <c r="F18" i="5"/>
  <c r="J17" i="4"/>
  <c r="E10" i="5"/>
  <c r="H10" i="5" s="1"/>
  <c r="C13" i="6" s="1"/>
  <c r="I5" i="4"/>
  <c r="D4" i="5"/>
  <c r="N28" i="4"/>
  <c r="M28" i="4"/>
  <c r="C68" i="3"/>
  <c r="C38" i="4"/>
  <c r="D41" i="3"/>
  <c r="F38" i="4"/>
  <c r="I46" i="3"/>
  <c r="I21" i="4" s="1"/>
  <c r="I23" i="4" s="1"/>
  <c r="D16" i="5"/>
  <c r="M14" i="4"/>
  <c r="N14" i="4"/>
  <c r="K5" i="4"/>
  <c r="F4" i="5"/>
  <c r="D35" i="4"/>
  <c r="I10" i="5" l="1"/>
  <c r="N34" i="4"/>
  <c r="M17" i="4"/>
  <c r="G16" i="5"/>
  <c r="N5" i="4"/>
  <c r="N17" i="4"/>
  <c r="M5" i="4"/>
  <c r="E85" i="6"/>
  <c r="E89" i="6" s="1"/>
  <c r="G128" i="6"/>
  <c r="H81" i="6"/>
  <c r="C16" i="5"/>
  <c r="E39" i="6"/>
  <c r="E37" i="6"/>
  <c r="E92" i="6"/>
  <c r="E104" i="6" s="1"/>
  <c r="E108" i="6" s="1"/>
  <c r="G49" i="6"/>
  <c r="F49" i="6"/>
  <c r="D45" i="6"/>
  <c r="D102" i="6" s="1"/>
  <c r="D40" i="6"/>
  <c r="H79" i="6"/>
  <c r="F30" i="3"/>
  <c r="F13" i="4" s="1"/>
  <c r="F33" i="3"/>
  <c r="I20" i="5"/>
  <c r="F24" i="4"/>
  <c r="F20" i="4"/>
  <c r="F27" i="3"/>
  <c r="F12" i="4" s="1"/>
  <c r="F18" i="4" s="1"/>
  <c r="F42" i="6"/>
  <c r="F43" i="6" s="1"/>
  <c r="F51" i="6"/>
  <c r="F52" i="6" s="1"/>
  <c r="F36" i="6"/>
  <c r="N32" i="4"/>
  <c r="C35" i="4"/>
  <c r="M32" i="4"/>
  <c r="C29" i="3"/>
  <c r="C26" i="3"/>
  <c r="C18" i="3"/>
  <c r="C11" i="4" s="1"/>
  <c r="J6" i="4"/>
  <c r="J29" i="3"/>
  <c r="J26" i="3"/>
  <c r="J18" i="3"/>
  <c r="J11" i="4" s="1"/>
  <c r="E3" i="4"/>
  <c r="E3" i="2"/>
  <c r="F3" i="3"/>
  <c r="I6" i="4"/>
  <c r="I29" i="3"/>
  <c r="I18" i="3"/>
  <c r="I11" i="4" s="1"/>
  <c r="I26" i="3"/>
  <c r="E26" i="3"/>
  <c r="E6" i="4"/>
  <c r="E29" i="3"/>
  <c r="E18" i="3"/>
  <c r="E11" i="4" s="1"/>
  <c r="F6" i="4"/>
  <c r="N33" i="4"/>
  <c r="M33" i="4"/>
  <c r="N26" i="4"/>
  <c r="H30" i="3"/>
  <c r="H13" i="4" s="1"/>
  <c r="H33" i="3"/>
  <c r="C14" i="5" s="1"/>
  <c r="K6" i="4"/>
  <c r="M16" i="4"/>
  <c r="N16" i="4"/>
  <c r="K35" i="4"/>
  <c r="H4" i="5"/>
  <c r="D6" i="4"/>
  <c r="D18" i="3"/>
  <c r="D11" i="4" s="1"/>
  <c r="D29" i="3"/>
  <c r="D26" i="3"/>
  <c r="M26" i="4"/>
  <c r="M34" i="4"/>
  <c r="H24" i="4"/>
  <c r="H20" i="4"/>
  <c r="H27" i="3"/>
  <c r="H12" i="4" s="1"/>
  <c r="H18" i="4" s="1"/>
  <c r="H18" i="5"/>
  <c r="K30" i="3"/>
  <c r="K13" i="4" s="1"/>
  <c r="K33" i="3"/>
  <c r="F14" i="5" s="1"/>
  <c r="K68" i="3"/>
  <c r="K38" i="4"/>
  <c r="M38" i="4" s="1"/>
  <c r="I18" i="5"/>
  <c r="C21" i="6" s="1"/>
  <c r="K24" i="4"/>
  <c r="K20" i="4"/>
  <c r="K27" i="3"/>
  <c r="K12" i="4" s="1"/>
  <c r="K18" i="4" s="1"/>
  <c r="I4" i="5"/>
  <c r="C7" i="6" s="1"/>
  <c r="G18" i="3"/>
  <c r="G11" i="4" s="1"/>
  <c r="G26" i="3"/>
  <c r="G29" i="3"/>
  <c r="G6" i="4"/>
  <c r="L68" i="3"/>
  <c r="L38" i="4"/>
  <c r="N10" i="4"/>
  <c r="M10" i="4"/>
  <c r="J46" i="3"/>
  <c r="J21" i="4" s="1"/>
  <c r="E16" i="5"/>
  <c r="I8" i="5"/>
  <c r="H16" i="5" l="1"/>
  <c r="H128" i="6"/>
  <c r="H48" i="6"/>
  <c r="F92" i="6"/>
  <c r="F104" i="6" s="1"/>
  <c r="F108" i="6" s="1"/>
  <c r="F37" i="6"/>
  <c r="D54" i="6"/>
  <c r="D46" i="6"/>
  <c r="F85" i="6"/>
  <c r="F39" i="6"/>
  <c r="E45" i="6"/>
  <c r="E102" i="6" s="1"/>
  <c r="E40" i="6"/>
  <c r="G42" i="6"/>
  <c r="G43" i="6" s="1"/>
  <c r="G51" i="6"/>
  <c r="G52" i="6" s="1"/>
  <c r="G36" i="6"/>
  <c r="N38" i="4"/>
  <c r="M11" i="4"/>
  <c r="N11" i="4"/>
  <c r="E30" i="3"/>
  <c r="E13" i="4" s="1"/>
  <c r="E33" i="3"/>
  <c r="C30" i="3"/>
  <c r="C13" i="4" s="1"/>
  <c r="C33" i="3"/>
  <c r="J23" i="4"/>
  <c r="N21" i="4"/>
  <c r="M21" i="4"/>
  <c r="N6" i="4"/>
  <c r="M6" i="4"/>
  <c r="I20" i="4"/>
  <c r="I24" i="4"/>
  <c r="I27" i="3"/>
  <c r="I12" i="4" s="1"/>
  <c r="I18" i="4" s="1"/>
  <c r="C24" i="4"/>
  <c r="C20" i="4"/>
  <c r="C27" i="3"/>
  <c r="C12" i="4" s="1"/>
  <c r="I30" i="3"/>
  <c r="I13" i="4" s="1"/>
  <c r="I33" i="3"/>
  <c r="D14" i="5" s="1"/>
  <c r="J24" i="4"/>
  <c r="J20" i="4"/>
  <c r="J27" i="3"/>
  <c r="J12" i="4" s="1"/>
  <c r="J18" i="4" s="1"/>
  <c r="M35" i="4"/>
  <c r="I16" i="5"/>
  <c r="C19" i="6" s="1"/>
  <c r="G30" i="3"/>
  <c r="G13" i="4" s="1"/>
  <c r="G33" i="3"/>
  <c r="D24" i="4"/>
  <c r="D20" i="4"/>
  <c r="D27" i="3"/>
  <c r="D12" i="4" s="1"/>
  <c r="D18" i="4" s="1"/>
  <c r="E24" i="4"/>
  <c r="E20" i="4"/>
  <c r="E27" i="3"/>
  <c r="E12" i="4" s="1"/>
  <c r="E18" i="4" s="1"/>
  <c r="J33" i="3"/>
  <c r="E14" i="5" s="1"/>
  <c r="H14" i="5" s="1"/>
  <c r="C17" i="6" s="1"/>
  <c r="J30" i="3"/>
  <c r="J13" i="4" s="1"/>
  <c r="G27" i="3"/>
  <c r="G12" i="4" s="1"/>
  <c r="G18" i="4" s="1"/>
  <c r="G24" i="4"/>
  <c r="G20" i="4"/>
  <c r="D33" i="3"/>
  <c r="D30" i="3"/>
  <c r="D13" i="4" s="1"/>
  <c r="F3" i="4"/>
  <c r="G3" i="3"/>
  <c r="F3" i="2"/>
  <c r="N35" i="4"/>
  <c r="H131" i="6" l="1"/>
  <c r="H49" i="6"/>
  <c r="I14" i="5"/>
  <c r="F45" i="6"/>
  <c r="F102" i="6" s="1"/>
  <c r="F40" i="6"/>
  <c r="G85" i="6"/>
  <c r="F89" i="6"/>
  <c r="D55" i="6"/>
  <c r="D57" i="6"/>
  <c r="G39" i="6"/>
  <c r="G37" i="6"/>
  <c r="G92" i="6"/>
  <c r="G104" i="6" s="1"/>
  <c r="G108" i="6" s="1"/>
  <c r="E54" i="6"/>
  <c r="E46" i="6"/>
  <c r="H36" i="6"/>
  <c r="H42" i="6"/>
  <c r="H43" i="6" s="1"/>
  <c r="H51" i="6"/>
  <c r="H52" i="6" s="1"/>
  <c r="M20" i="4"/>
  <c r="N20" i="4"/>
  <c r="N13" i="4"/>
  <c r="M13" i="4"/>
  <c r="N24" i="4"/>
  <c r="M24" i="4"/>
  <c r="M23" i="4"/>
  <c r="N23" i="4"/>
  <c r="H3" i="3"/>
  <c r="G3" i="4"/>
  <c r="G3" i="2"/>
  <c r="C18" i="4"/>
  <c r="M12" i="4"/>
  <c r="N12" i="4"/>
  <c r="D60" i="6" l="1"/>
  <c r="D109" i="6" s="1"/>
  <c r="D110" i="6" s="1"/>
  <c r="D58" i="6"/>
  <c r="E55" i="6"/>
  <c r="E57" i="6"/>
  <c r="H85" i="6"/>
  <c r="H89" i="6" s="1"/>
  <c r="G89" i="6"/>
  <c r="H39" i="6"/>
  <c r="H92" i="6"/>
  <c r="H104" i="6" s="1"/>
  <c r="H108" i="6" s="1"/>
  <c r="H37" i="6"/>
  <c r="G45" i="6"/>
  <c r="G102" i="6" s="1"/>
  <c r="G40" i="6"/>
  <c r="F46" i="6"/>
  <c r="F54" i="6"/>
  <c r="M18" i="4"/>
  <c r="N18" i="4"/>
  <c r="I3" i="3"/>
  <c r="C2" i="5"/>
  <c r="H3" i="2"/>
  <c r="H3" i="4"/>
  <c r="G54" i="6" l="1"/>
  <c r="G46" i="6"/>
  <c r="E58" i="6"/>
  <c r="E60" i="6"/>
  <c r="E109" i="6" s="1"/>
  <c r="E110" i="6" s="1"/>
  <c r="F55" i="6"/>
  <c r="F57" i="6"/>
  <c r="H45" i="6"/>
  <c r="H102" i="6" s="1"/>
  <c r="H40" i="6"/>
  <c r="D63" i="6"/>
  <c r="D61" i="6"/>
  <c r="I3" i="4"/>
  <c r="J3" i="3"/>
  <c r="I3" i="2"/>
  <c r="D2" i="5"/>
  <c r="E63" i="6" l="1"/>
  <c r="E61" i="6"/>
  <c r="D71" i="6"/>
  <c r="D132" i="6" s="1"/>
  <c r="D135" i="6" s="1"/>
  <c r="D137" i="6" s="1"/>
  <c r="D64" i="6"/>
  <c r="D68" i="6"/>
  <c r="H46" i="6"/>
  <c r="H54" i="6"/>
  <c r="G55" i="6"/>
  <c r="G57" i="6"/>
  <c r="F60" i="6"/>
  <c r="F58" i="6"/>
  <c r="J3" i="4"/>
  <c r="K3" i="3"/>
  <c r="E2" i="5"/>
  <c r="J3" i="2"/>
  <c r="F61" i="6" l="1"/>
  <c r="F109" i="6"/>
  <c r="F110" i="6" s="1"/>
  <c r="F63" i="6"/>
  <c r="F71" i="6" s="1"/>
  <c r="F132" i="6" s="1"/>
  <c r="F135" i="6" s="1"/>
  <c r="F137" i="6" s="1"/>
  <c r="G60" i="6"/>
  <c r="G109" i="6" s="1"/>
  <c r="G110" i="6" s="1"/>
  <c r="G58" i="6"/>
  <c r="D74" i="6"/>
  <c r="D80" i="6" s="1"/>
  <c r="D83" i="6" s="1"/>
  <c r="D72" i="6"/>
  <c r="D75" i="6" s="1" a="1"/>
  <c r="D75" i="6" s="1"/>
  <c r="H55" i="6"/>
  <c r="H57" i="6"/>
  <c r="E64" i="6"/>
  <c r="E71" i="6"/>
  <c r="E132" i="6" s="1"/>
  <c r="E135" i="6" s="1"/>
  <c r="E137" i="6" s="1"/>
  <c r="E68" i="6"/>
  <c r="E69" i="6" s="1"/>
  <c r="K3" i="4"/>
  <c r="F2" i="5"/>
  <c r="L3" i="3"/>
  <c r="K3" i="2"/>
  <c r="F64" i="6" l="1"/>
  <c r="F68" i="6"/>
  <c r="D93" i="6"/>
  <c r="D94" i="6" s="1"/>
  <c r="D96" i="6" s="1"/>
  <c r="D98" i="6" s="1"/>
  <c r="E74" i="6"/>
  <c r="E80" i="6" s="1"/>
  <c r="E83" i="6" s="1"/>
  <c r="E72" i="6"/>
  <c r="E75" i="6" s="1" a="1"/>
  <c r="E75" i="6" s="1"/>
  <c r="G63" i="6"/>
  <c r="G61" i="6"/>
  <c r="H58" i="6"/>
  <c r="H60" i="6"/>
  <c r="H109" i="6" s="1"/>
  <c r="H110" i="6" s="1"/>
  <c r="F69" i="6"/>
  <c r="F74" i="6"/>
  <c r="F72" i="6"/>
  <c r="F75" i="6" s="1" a="1"/>
  <c r="F75" i="6" s="1"/>
  <c r="L3" i="4"/>
  <c r="L3" i="2"/>
  <c r="G2" i="5"/>
  <c r="F80" i="6" l="1"/>
  <c r="F83" i="6"/>
  <c r="G64" i="6"/>
  <c r="G68" i="6"/>
  <c r="G69" i="6" s="1"/>
  <c r="G71" i="6"/>
  <c r="G132" i="6" s="1"/>
  <c r="G135" i="6" s="1"/>
  <c r="G137" i="6" s="1"/>
  <c r="E93" i="6"/>
  <c r="E94" i="6" s="1"/>
  <c r="E96" i="6" s="1"/>
  <c r="E98" i="6" s="1"/>
  <c r="H63" i="6"/>
  <c r="H61" i="6"/>
  <c r="G74" i="6" l="1"/>
  <c r="G80" i="6" s="1"/>
  <c r="G72" i="6"/>
  <c r="G75" i="6" s="1" a="1"/>
  <c r="G75" i="6" s="1"/>
  <c r="H64" i="6"/>
  <c r="H71" i="6"/>
  <c r="H132" i="6" s="1"/>
  <c r="H135" i="6" s="1"/>
  <c r="H137" i="6" s="1"/>
  <c r="H68" i="6"/>
  <c r="H69" i="6" s="1"/>
  <c r="F93" i="6"/>
  <c r="F94" i="6" s="1"/>
  <c r="F96" i="6" s="1"/>
  <c r="F98" i="6" s="1"/>
  <c r="H74" i="6" l="1"/>
  <c r="H72" i="6"/>
  <c r="H75" i="6" s="1" a="1"/>
  <c r="H75" i="6" s="1"/>
  <c r="H80" i="6"/>
  <c r="H83" i="6" s="1"/>
  <c r="G83" i="6"/>
  <c r="G93" i="6" l="1"/>
  <c r="G94" i="6" s="1"/>
  <c r="G96" i="6" s="1"/>
  <c r="G98" i="6" s="1"/>
  <c r="H93" i="6"/>
  <c r="H94" i="6" s="1"/>
  <c r="H96" i="6" s="1"/>
  <c r="H9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<sst xmlns="http://schemas.openxmlformats.org/spreadsheetml/2006/main" count="336" uniqueCount="172">
  <si>
    <t>COMPANY NAME</t>
  </si>
  <si>
    <t>TVS MOTOR COMPANY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</si>
  <si>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</si>
  <si>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</si>
  <si>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</si>
  <si>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</si>
  <si>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</si>
  <si>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</si>
  <si>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</si>
  <si>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</si>
  <si>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</si>
  <si>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</si>
  <si>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</si>
  <si>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</si>
  <si>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</si>
  <si>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</si>
  <si>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</si>
  <si>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</si>
  <si>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</si>
  <si>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</si>
  <si>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</si>
  <si>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</si>
  <si>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</si>
  <si>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</si>
  <si>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</si>
  <si>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</si>
  <si>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</si>
  <si>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</si>
  <si>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</si>
  <si>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</si>
  <si>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</si>
  <si>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</si>
  <si>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</si>
  <si>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</si>
  <si>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</si>
  <si>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</si>
  <si>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</si>
  <si>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</si>
  <si>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</si>
  <si>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</si>
  <si>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</si>
  <si>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</si>
  <si>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</si>
  <si>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</si>
  <si>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</si>
  <si>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</si>
  <si>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</si>
  <si>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</si>
  <si>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</si>
  <si>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</si>
  <si>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</si>
  <si>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</si>
  <si>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</si>
  <si>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</si>
  <si>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Cash Flow Statements</t>
  </si>
  <si>
    <t>Years</t>
  </si>
  <si>
    <t>Cash from Operating Activities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</si>
  <si>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</si>
  <si>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</si>
  <si>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</si>
  <si>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</si>
  <si>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</si>
  <si>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</si>
  <si>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</si>
  <si>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</si>
  <si>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</si>
  <si>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Capital WIP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</si>
  <si>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</si>
  <si>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</si>
  <si>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</si>
  <si>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</si>
  <si>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</si>
  <si>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</si>
  <si>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</si>
  <si>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</si>
  <si>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</si>
  <si>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</si>
  <si>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</si>
  <si>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</si>
  <si>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</si>
  <si>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</si>
  <si>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</si>
  <si>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</si>
  <si>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</si>
  <si>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</si>
  <si>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</si>
  <si>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₹ in Crores</t>
  </si>
  <si>
    <t xml:space="preserve"> </t>
  </si>
  <si>
    <t>#</t>
  </si>
  <si>
    <t>Income Statement</t>
  </si>
  <si>
    <t>Sales Growth</t>
  </si>
  <si>
    <t>COGS</t>
  </si>
  <si>
    <t>COGS % Sales</t>
  </si>
  <si>
    <t>  </t>
  </si>
  <si>
    <t>Gross Profit</t>
  </si>
  <si>
    <t>Gross Margins</t>
  </si>
  <si>
    <t>Selling &amp; General Expenses</t>
  </si>
  <si>
    <t>S&amp;G Exp % Sales</t>
  </si>
  <si>
    <t>EBITDA</t>
  </si>
  <si>
    <t>EBITDA % Sales</t>
  </si>
  <si>
    <t>Interest % Sales</t>
  </si>
  <si>
    <t>Depreciation % Sales</t>
  </si>
  <si>
    <t>EBIT</t>
  </si>
  <si>
    <t>EBIT % Sales</t>
  </si>
  <si>
    <t>EBT</t>
  </si>
  <si>
    <t xml:space="preserve">EBT % Sales </t>
  </si>
  <si>
    <t>Effective Tax Rate</t>
  </si>
  <si>
    <t>Net Profit</t>
  </si>
  <si>
    <t>Net Margins</t>
  </si>
  <si>
    <t>EPS</t>
  </si>
  <si>
    <t>EPS Growth %</t>
  </si>
  <si>
    <t>Dividend per Share</t>
  </si>
  <si>
    <t>Dividend payout ratio</t>
  </si>
  <si>
    <t>Retained Earnings</t>
  </si>
  <si>
    <t>Balance Sheet</t>
  </si>
  <si>
    <t>Total Liablities</t>
  </si>
  <si>
    <t>Total Non Current Assets</t>
  </si>
  <si>
    <t>Total Current Assets</t>
  </si>
  <si>
    <t>Total Assets</t>
  </si>
  <si>
    <t>Check</t>
  </si>
  <si>
    <t xml:space="preserve">Cash Flow Statements </t>
  </si>
  <si>
    <t xml:space="preserve">Operating Activities - </t>
  </si>
  <si>
    <t>Investing Activities -</t>
  </si>
  <si>
    <t>Dividends Received</t>
  </si>
  <si>
    <t>Investment in Group Companies</t>
  </si>
  <si>
    <t>Redemption and Cancelling of Shares</t>
  </si>
  <si>
    <t>Cash from investing activities</t>
  </si>
  <si>
    <t>Financing Activity -</t>
  </si>
  <si>
    <t>Interest Paid</t>
  </si>
  <si>
    <t>Cash from Financing Activities</t>
  </si>
  <si>
    <t>Mean</t>
  </si>
  <si>
    <t>Median</t>
  </si>
  <si>
    <t>EBITDA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</si>
  <si>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</si>
  <si>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</si>
  <si>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</si>
  <si>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</si>
  <si>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</si>
  <si>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</si>
  <si>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</si>
  <si>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 Expenses % Sales</t>
  </si>
  <si>
    <t>Operating Income % Sales</t>
  </si>
  <si>
    <t>Return on Capital Employed</t>
  </si>
  <si>
    <t xml:space="preserve">Retained Earnings % </t>
  </si>
  <si>
    <t>Return on Equity %</t>
  </si>
  <si>
    <t>Self Sustained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</si>
  <si>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</si>
  <si>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</si>
  <si>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</si>
  <si>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</si>
  <si>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</si>
  <si>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</si>
  <si>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</si>
  <si>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</si>
  <si>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</si>
  <si>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</si>
  <si>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</si>
  <si>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</si>
  <si>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3-Year AVG</t>
  </si>
  <si>
    <t>5-Year AVG</t>
  </si>
  <si>
    <t>Sales Growth %</t>
  </si>
  <si>
    <t>Cost of Debt %</t>
  </si>
  <si>
    <t>Dividend Payout</t>
  </si>
  <si>
    <t>Debtors Days</t>
  </si>
  <si>
    <t>Capex % Sales</t>
  </si>
  <si>
    <t>Net Borrowing Growth %</t>
  </si>
  <si>
    <t>Year</t>
  </si>
  <si>
    <t>Hist.Ref</t>
  </si>
  <si>
    <t>Income Statements</t>
  </si>
  <si>
    <t>Change in Other Assets</t>
  </si>
  <si>
    <t>Source: Screener.in</t>
  </si>
  <si>
    <t>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</si>
</sst>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\-??_ ;_ @_ "/>
    <numFmt numFmtId="165" formatCode="[$-409]mmm\-yy;@"/>
    <numFmt numFmtId="166" formatCode="_(* #,##0.00_);_(* \(#,##0.00\);_(* \-??_);_(@_)"/>
    <numFmt numFmtId="167" formatCode="&quot;FY&quot;0\A"/>
    <numFmt numFmtId="168" formatCode="0.00\x"/>
    <numFmt numFmtId="169" formatCode="0&quot; days&quot;"/>
    <numFmt numFmtId="170" formatCode="0.0"/>
    <numFmt numFmtId="171" formatCode="&quot;FY&quot;0\E"/>
    <numFmt numFmtId="172" formatCode="#,##0.0_);\(#,##0.0\)"/>
  </numFmts>
  <fonts count="1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i/>
      <sz val="11"/>
      <color theme="0" tint="-0.499984740745262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charset val="1"/>
    </font>
    <font>
      <i/>
      <sz val="11"/>
      <color theme="0" tint="-0.499984740745262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rgb="FF993366"/>
      </patternFill>
    </fill>
    <fill>
      <patternFill patternType="solid">
        <fgColor rgb="FF0275D8"/>
        <bgColor rgb="FF008080"/>
      </patternFill>
    </fill>
    <fill>
      <patternFill patternType="solid">
        <fgColor theme="7"/>
        <bgColor rgb="FF3366FF"/>
      </patternFill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0" tint="-0.34998626667073579"/>
        <bgColor rgb="FFA6A6A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66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1" fillId="0" borderId="0"/>
    <xf numFmtId="9" fontId="11" fillId="0" borderId="0"/>
    <xf numFmtId="0" fontId="2" fillId="0" borderId="0">
      <alignment vertical="top"/>
      <protection locked="0"/>
    </xf>
    <xf numFmtId="0" fontId="4" fillId="2" borderId="0"/>
  </cellStyleXfs>
  <cellXfs count="70">
    <xf numFmtId="0" fontId="0" fillId="0" borderId="0" xfId="0"/>
    <xf numFmtId="0" fontId="0" fillId="0" borderId="0" xfId="0" applyAlignment="1">
      <alignment horizontal="center"/>
    </xf>
    <xf numFmtId="164" fontId="11" fillId="0" borderId="0" xfId="1"/>
    <xf numFmtId="164" fontId="1" fillId="0" borderId="0" xfId="1" applyFont="1"/>
    <xf numFmtId="165" fontId="3" fillId="3" borderId="0" xfId="1" applyNumberFormat="1" applyFont="1" applyFill="1"/>
    <xf numFmtId="165" fontId="3" fillId="3" borderId="0" xfId="0" applyNumberFormat="1" applyFont="1" applyFill="1" applyAlignment="1">
      <alignment horizontal="center"/>
    </xf>
    <xf numFmtId="165" fontId="5" fillId="0" borderId="0" xfId="1" applyNumberFormat="1" applyFont="1"/>
    <xf numFmtId="166" fontId="11" fillId="0" borderId="0" xfId="1" applyNumberFormat="1"/>
    <xf numFmtId="167" fontId="0" fillId="0" borderId="0" xfId="0" applyNumberFormat="1" applyAlignment="1">
      <alignment horizontal="center"/>
    </xf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0" fontId="4" fillId="5" borderId="0" xfId="0" applyFont="1" applyFill="1"/>
    <xf numFmtId="0" fontId="4" fillId="4" borderId="0" xfId="0" applyFont="1" applyFill="1"/>
    <xf numFmtId="167" fontId="4" fillId="4" borderId="0" xfId="0" applyNumberFormat="1" applyFont="1" applyFill="1" applyAlignment="1">
      <alignment horizontal="left"/>
    </xf>
    <xf numFmtId="17" fontId="4" fillId="5" borderId="0" xfId="0" applyNumberFormat="1" applyFont="1" applyFill="1" applyAlignment="1">
      <alignment horizontal="right"/>
    </xf>
    <xf numFmtId="17" fontId="0" fillId="0" borderId="0" xfId="0" applyNumberFormat="1"/>
    <xf numFmtId="0" fontId="1" fillId="6" borderId="0" xfId="0" applyFont="1" applyFill="1"/>
    <xf numFmtId="0" fontId="0" fillId="6" borderId="0" xfId="0" applyFill="1"/>
    <xf numFmtId="0" fontId="6" fillId="0" borderId="0" xfId="0" applyFont="1"/>
    <xf numFmtId="10" fontId="6" fillId="0" borderId="0" xfId="2" applyNumberFormat="1" applyFont="1"/>
    <xf numFmtId="0" fontId="0" fillId="0" borderId="1" xfId="0" applyBorder="1"/>
    <xf numFmtId="0" fontId="6" fillId="0" borderId="1" xfId="0" applyFont="1" applyBorder="1"/>
    <xf numFmtId="10" fontId="6" fillId="0" borderId="1" xfId="2" applyNumberFormat="1" applyFont="1" applyBorder="1"/>
    <xf numFmtId="0" fontId="1" fillId="0" borderId="0" xfId="0" applyFont="1"/>
    <xf numFmtId="10" fontId="11" fillId="0" borderId="0" xfId="2" applyNumberFormat="1"/>
    <xf numFmtId="164" fontId="11" fillId="0" borderId="1" xfId="1" applyBorder="1"/>
    <xf numFmtId="3" fontId="1" fillId="0" borderId="0" xfId="0" applyNumberFormat="1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167" fontId="4" fillId="4" borderId="0" xfId="0" applyNumberFormat="1" applyFont="1" applyFill="1"/>
    <xf numFmtId="0" fontId="4" fillId="4" borderId="0" xfId="0" applyFont="1" applyFill="1" applyAlignment="1">
      <alignment horizontal="right"/>
    </xf>
    <xf numFmtId="10" fontId="11" fillId="0" borderId="1" xfId="2" applyNumberFormat="1" applyBorder="1"/>
    <xf numFmtId="10" fontId="0" fillId="0" borderId="1" xfId="0" applyNumberFormat="1" applyBorder="1"/>
    <xf numFmtId="168" fontId="11" fillId="0" borderId="1" xfId="2" applyNumberFormat="1" applyBorder="1"/>
    <xf numFmtId="168" fontId="11" fillId="0" borderId="0" xfId="2" applyNumberFormat="1"/>
    <xf numFmtId="169" fontId="0" fillId="0" borderId="0" xfId="0" applyNumberFormat="1"/>
    <xf numFmtId="169" fontId="0" fillId="0" borderId="1" xfId="0" applyNumberFormat="1" applyBorder="1"/>
    <xf numFmtId="167" fontId="0" fillId="0" borderId="0" xfId="0" applyNumberFormat="1"/>
    <xf numFmtId="0" fontId="0" fillId="0" borderId="0" xfId="0" applyAlignment="1">
      <alignment horizontal="right"/>
    </xf>
    <xf numFmtId="171" fontId="4" fillId="4" borderId="0" xfId="0" applyNumberFormat="1" applyFont="1" applyFill="1"/>
    <xf numFmtId="0" fontId="8" fillId="0" borderId="0" xfId="0" applyFont="1"/>
    <xf numFmtId="172" fontId="0" fillId="0" borderId="0" xfId="0" applyNumberFormat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12" fillId="9" borderId="0" xfId="0" applyFont="1" applyFill="1"/>
    <xf numFmtId="172" fontId="12" fillId="9" borderId="0" xfId="0" applyNumberFormat="1" applyFont="1" applyFill="1"/>
    <xf numFmtId="10" fontId="12" fillId="9" borderId="0" xfId="2" applyNumberFormat="1" applyFont="1" applyFill="1"/>
    <xf numFmtId="0" fontId="4" fillId="10" borderId="0" xfId="0" applyFont="1" applyFill="1" applyAlignment="1">
      <alignment horizontal="right"/>
    </xf>
    <xf numFmtId="172" fontId="0" fillId="0" borderId="1" xfId="0" applyNumberFormat="1" applyBorder="1"/>
    <xf numFmtId="0" fontId="14" fillId="0" borderId="0" xfId="0" applyFont="1"/>
    <xf numFmtId="0" fontId="0" fillId="0" borderId="2" xfId="0" applyBorder="1"/>
    <xf numFmtId="0" fontId="0" fillId="0" borderId="3" xfId="0" applyBorder="1"/>
    <xf numFmtId="10" fontId="11" fillId="0" borderId="3" xfId="2" applyNumberFormat="1" applyBorder="1"/>
    <xf numFmtId="10" fontId="0" fillId="0" borderId="3" xfId="0" applyNumberFormat="1" applyBorder="1"/>
    <xf numFmtId="10" fontId="9" fillId="0" borderId="1" xfId="0" applyNumberFormat="1" applyFont="1" applyBorder="1"/>
    <xf numFmtId="10" fontId="10" fillId="0" borderId="1" xfId="0" applyNumberFormat="1" applyFont="1" applyBorder="1"/>
    <xf numFmtId="10" fontId="9" fillId="0" borderId="3" xfId="0" applyNumberFormat="1" applyFont="1" applyBorder="1"/>
    <xf numFmtId="10" fontId="10" fillId="0" borderId="3" xfId="0" applyNumberFormat="1" applyFont="1" applyBorder="1"/>
    <xf numFmtId="170" fontId="9" fillId="0" borderId="3" xfId="0" applyNumberFormat="1" applyFont="1" applyBorder="1"/>
    <xf numFmtId="170" fontId="10" fillId="0" borderId="3" xfId="0" applyNumberFormat="1" applyFont="1" applyBorder="1"/>
    <xf numFmtId="10" fontId="9" fillId="0" borderId="2" xfId="0" applyNumberFormat="1" applyFont="1" applyBorder="1"/>
    <xf numFmtId="10" fontId="10" fillId="0" borderId="2" xfId="0" applyNumberFormat="1" applyFont="1" applyBorder="1"/>
    <xf numFmtId="169" fontId="0" fillId="0" borderId="3" xfId="0" applyNumberFormat="1" applyBorder="1"/>
    <xf numFmtId="0" fontId="13" fillId="8" borderId="0" xfId="0" applyFont="1" applyFill="1"/>
    <xf numFmtId="0" fontId="4" fillId="4" borderId="0" xfId="0" applyFont="1" applyFill="1" applyAlignment="1">
      <alignment horizontal="center"/>
    </xf>
    <xf numFmtId="164" fontId="2" fillId="0" borderId="0" xfId="3" applyNumberFormat="1" applyAlignment="1" applyProtection="1">
      <alignment horizontal="center"/>
    </xf>
    <xf numFmtId="164" fontId="3" fillId="2" borderId="0" xfId="4" applyNumberFormat="1" applyFont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1" builtinId="3"/>
    <cellStyle name="Excel Built-in Accent6" xfId="4" xr:uid="{00000000-0005-0000-0000-000007000000}"/>
    <cellStyle name="Hyperlink" xfId="3" builtinId="8"/>
    <cellStyle name="Normal" xfId="0" builtinId="0"/>
    <cellStyle name="Per cent" xfId="2" builtinId="5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A1F2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D3C4A"/>
      <rgbColor rgb="FFFFFFCC"/>
      <rgbColor rgb="FFCCFFFF"/>
      <rgbColor rgb="FF660066"/>
      <rgbColor rgb="FFFF8080"/>
      <rgbColor rgb="FF0275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119"/>
      <rgbColor rgb="FFFF6600"/>
      <rgbColor rgb="FF39639D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4</xdr:row>
      <xdr:rowOff>50800</xdr:rowOff>
    </xdr:from>
    <xdr:to>
      <xdr:col>14</xdr:col>
      <xdr:colOff>736600</xdr:colOff>
      <xdr:row>9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D0F332-A73B-113A-235A-44C695A612E9}"/>
            </a:ext>
          </a:extLst>
        </xdr:cNvPr>
        <xdr:cNvSpPr txBox="1"/>
      </xdr:nvSpPr>
      <xdr:spPr>
        <a:xfrm>
          <a:off x="8686800" y="812800"/>
          <a:ext cx="478790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Forecast assumptions are derived from TVS Motor's historical 3-year and 5-year averages. The approach balances recent performance with longer-term trends and reduces the impact of short-term fluctuations or exceptional years.</a:t>
          </a:r>
          <a:endParaRPr lang="en-GB" sz="1100" i="1"/>
        </a:p>
      </xdr:txBody>
    </xdr:sp>
    <xdr:clientData/>
  </xdr:twoCellAnchor>
</xdr:wsDr>
</file>

<file path=xl/theme/theme1.xml><?xml version="1.0" encoding="utf-8"?>
<a:theme xmlns:a="http://schemas.openxmlformats.org/drawingml/2006/main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/>
        </a:gradFill>
        <a:blipFill rotWithShape="1">
          <a:srcRect/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zoomScale="113" zoomScaleNormal="11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baseColWidth="10" defaultColWidth="8.83203125" defaultRowHeight="15" x14ac:dyDescent="0.2"/>
  <cols>
    <col min="1" max="1" width="27.6640625" style="2" customWidth="1"/>
    <col min="2" max="11" width="13.5" style="2" customWidth="1"/>
    <col min="12" max="16384" width="8.83203125" style="2"/>
  </cols>
  <sheetData>
    <row r="1" spans="1:11" s="3" customFormat="1" x14ac:dyDescent="0.2">
      <c r="A1" s="3" t="s">
        <v>0</v>
      </c>
      <c r="B1" s="3" t="s">
        <v>1</v>
      </c>
      <c r="E1" s="67" t="str">
        <f>IF(B2&lt;&gt;B3, "A NEW VERSION OF THE WORKSHEET IS AVAILABLE", "")</f>
        <v/>
      </c>
      <c r="F1" s="67"/>
      <c r="G1" s="67"/>
      <c r="H1" s="67"/>
      <c r="I1" s="67"/>
      <c r="J1" s="67"/>
      <c r="K1" s="67"/>
    </row>
    <row r="2" spans="1:11" x14ac:dyDescent="0.2">
      <c r="A2" s="3" t="s">
        <v>2</v>
      </c>
      <c r="B2" s="2">
        <v>2.1</v>
      </c>
      <c r="E2" s="68" t="s">
        <v>3</v>
      </c>
      <c r="F2" s="68"/>
      <c r="G2" s="68"/>
      <c r="H2" s="68"/>
      <c r="I2" s="68"/>
      <c r="J2" s="68"/>
      <c r="K2" s="68"/>
    </row>
    <row r="3" spans="1:11" x14ac:dyDescent="0.2">
      <c r="A3" s="3" t="s">
        <v>4</v>
      </c>
      <c r="B3" s="2">
        <v>2.1</v>
      </c>
    </row>
    <row r="4" spans="1:11" x14ac:dyDescent="0.2">
      <c r="A4" s="3"/>
    </row>
    <row r="5" spans="1:11" x14ac:dyDescent="0.2">
      <c r="A5" s="3" t="s">
        <v>5</v>
      </c>
    </row>
    <row r="6" spans="1:11" x14ac:dyDescent="0.2">
      <c r="A6" s="2" t="s">
        <v>6</v>
      </c>
      <c r="B6" s="2">
        <f>IF(B9&gt;0, B9/B8, 0)</f>
        <v>47.46979666597111</v>
      </c>
    </row>
    <row r="7" spans="1:11" x14ac:dyDescent="0.2">
      <c r="A7" s="2" t="s">
        <v>7</v>
      </c>
      <c r="B7" s="2">
        <v>1</v>
      </c>
    </row>
    <row r="8" spans="1:11" x14ac:dyDescent="0.2">
      <c r="A8" s="2" t="s">
        <v>8</v>
      </c>
      <c r="B8" s="2">
        <v>4313.1000000000004</v>
      </c>
    </row>
    <row r="9" spans="1:11" x14ac:dyDescent="0.2">
      <c r="A9" s="2" t="s">
        <v>9</v>
      </c>
      <c r="B9" s="2">
        <v>204741.98</v>
      </c>
    </row>
    <row r="15" spans="1:11" x14ac:dyDescent="0.2">
      <c r="A15" s="3" t="s">
        <v>10</v>
      </c>
    </row>
    <row r="16" spans="1:11" s="6" customFormat="1" x14ac:dyDescent="0.2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">
      <c r="A17" s="2" t="s">
        <v>12</v>
      </c>
      <c r="B17" s="2">
        <v>12462.62</v>
      </c>
      <c r="C17" s="2">
        <v>16340.25</v>
      </c>
      <c r="D17" s="2">
        <v>20159.990000000002</v>
      </c>
      <c r="E17" s="2">
        <v>18849.310000000001</v>
      </c>
      <c r="F17" s="2">
        <v>19420.82</v>
      </c>
      <c r="G17" s="2">
        <v>24355.31</v>
      </c>
      <c r="H17" s="2">
        <v>31973.99</v>
      </c>
      <c r="I17" s="2">
        <v>38778.82</v>
      </c>
      <c r="J17" s="2">
        <v>44089.01</v>
      </c>
      <c r="K17" s="2">
        <v>56069.52</v>
      </c>
    </row>
    <row r="18" spans="1:11" x14ac:dyDescent="0.2">
      <c r="A18" s="2" t="s">
        <v>13</v>
      </c>
      <c r="B18" s="2">
        <v>8985.23</v>
      </c>
      <c r="C18" s="2">
        <v>11257.6</v>
      </c>
      <c r="D18" s="2">
        <v>14033.27</v>
      </c>
      <c r="E18" s="2">
        <v>12310.04</v>
      </c>
      <c r="F18" s="2">
        <v>12925.65</v>
      </c>
      <c r="G18" s="2">
        <v>16517.689999999999</v>
      </c>
      <c r="H18" s="2">
        <v>20987.19</v>
      </c>
      <c r="I18" s="2">
        <v>24593.59</v>
      </c>
      <c r="J18" s="2">
        <v>26803.06</v>
      </c>
      <c r="K18" s="2">
        <v>34500.71</v>
      </c>
    </row>
    <row r="19" spans="1:11" x14ac:dyDescent="0.2">
      <c r="A19" s="2" t="s">
        <v>14</v>
      </c>
      <c r="B19" s="2">
        <v>48.77</v>
      </c>
      <c r="C19" s="2">
        <v>-33.96</v>
      </c>
      <c r="D19" s="2">
        <v>78.95</v>
      </c>
      <c r="E19" s="2">
        <v>-6.73</v>
      </c>
      <c r="F19" s="2">
        <v>0.19</v>
      </c>
      <c r="G19" s="2">
        <v>260.39999999999998</v>
      </c>
      <c r="H19" s="2">
        <v>140.93</v>
      </c>
      <c r="I19" s="2">
        <v>323.37</v>
      </c>
      <c r="J19" s="2">
        <v>79.22</v>
      </c>
      <c r="K19" s="2">
        <v>-379.05</v>
      </c>
    </row>
    <row r="20" spans="1:11" x14ac:dyDescent="0.2">
      <c r="A20" s="2" t="s">
        <v>15</v>
      </c>
      <c r="B20" s="2">
        <v>108.83</v>
      </c>
      <c r="C20" s="2">
        <v>128.63</v>
      </c>
      <c r="D20" s="2">
        <v>136.59</v>
      </c>
      <c r="E20" s="2">
        <v>112.75</v>
      </c>
      <c r="F20" s="2">
        <v>96.14</v>
      </c>
      <c r="G20" s="2">
        <v>126.81</v>
      </c>
      <c r="H20" s="2">
        <v>133.47</v>
      </c>
      <c r="I20" s="2">
        <v>104.53</v>
      </c>
      <c r="J20" s="2">
        <v>118.63</v>
      </c>
      <c r="K20" s="2">
        <v>141.84</v>
      </c>
    </row>
    <row r="21" spans="1:11" x14ac:dyDescent="0.2">
      <c r="A21" s="2" t="s">
        <v>16</v>
      </c>
      <c r="B21" s="2">
        <v>142.71</v>
      </c>
      <c r="C21" s="2">
        <v>156.57</v>
      </c>
      <c r="D21" s="2">
        <v>155.03</v>
      </c>
      <c r="E21" s="2">
        <v>154.06</v>
      </c>
      <c r="F21" s="2">
        <v>142.22999999999999</v>
      </c>
      <c r="G21" s="2">
        <v>160.71</v>
      </c>
      <c r="H21" s="2">
        <v>209.5</v>
      </c>
      <c r="I21" s="2">
        <v>245.47</v>
      </c>
      <c r="J21" s="2">
        <v>334.37</v>
      </c>
      <c r="K21" s="2">
        <v>347.57</v>
      </c>
    </row>
    <row r="22" spans="1:11" x14ac:dyDescent="0.2">
      <c r="A22" s="2" t="s">
        <v>17</v>
      </c>
      <c r="B22" s="2">
        <v>828.05</v>
      </c>
      <c r="C22" s="2">
        <v>1149.79</v>
      </c>
      <c r="D22" s="2">
        <v>1432.15</v>
      </c>
      <c r="E22" s="2">
        <v>1539.35</v>
      </c>
      <c r="F22" s="2">
        <v>1689.37</v>
      </c>
      <c r="G22" s="2">
        <v>2124.62</v>
      </c>
      <c r="H22" s="2">
        <v>2890.25</v>
      </c>
      <c r="I22" s="2">
        <v>3297.72</v>
      </c>
      <c r="J22" s="2">
        <v>3580.88</v>
      </c>
      <c r="K22" s="2">
        <v>4391.6099999999997</v>
      </c>
    </row>
    <row r="23" spans="1:11" x14ac:dyDescent="0.2">
      <c r="A23" s="2" t="s">
        <v>18</v>
      </c>
      <c r="B23" s="2">
        <v>1137.29</v>
      </c>
      <c r="C23" s="2">
        <v>1370.71</v>
      </c>
      <c r="D23" s="2">
        <v>1208.18</v>
      </c>
      <c r="E23" s="2">
        <v>1223.8699999999999</v>
      </c>
      <c r="F23" s="2">
        <v>986.91</v>
      </c>
      <c r="G23" s="2">
        <v>1138.3</v>
      </c>
      <c r="H23" s="2">
        <v>1353.75</v>
      </c>
      <c r="I23" s="2">
        <v>1804.37</v>
      </c>
      <c r="J23" s="2">
        <v>2315.4699999999998</v>
      </c>
      <c r="K23" s="2">
        <v>2855.94</v>
      </c>
    </row>
    <row r="24" spans="1:11" x14ac:dyDescent="0.2">
      <c r="A24" s="2" t="s">
        <v>19</v>
      </c>
      <c r="B24" s="2">
        <v>438.02</v>
      </c>
      <c r="C24" s="2">
        <v>671.51</v>
      </c>
      <c r="D24" s="2">
        <v>1110.68</v>
      </c>
      <c r="E24" s="2">
        <v>1238.05</v>
      </c>
      <c r="F24" s="2">
        <v>1348.67</v>
      </c>
      <c r="G24" s="2">
        <v>1792.95</v>
      </c>
      <c r="H24" s="2">
        <v>2514.11</v>
      </c>
      <c r="I24" s="2">
        <v>3621.96</v>
      </c>
      <c r="J24" s="2">
        <v>4428.22</v>
      </c>
      <c r="K24" s="2">
        <v>5100.53</v>
      </c>
    </row>
    <row r="25" spans="1:11" x14ac:dyDescent="0.2">
      <c r="A25" s="2" t="s">
        <v>20</v>
      </c>
      <c r="B25" s="2">
        <v>163.13999999999999</v>
      </c>
      <c r="C25" s="2">
        <v>71.150000000000006</v>
      </c>
      <c r="D25" s="2">
        <v>24.92</v>
      </c>
      <c r="E25" s="2">
        <v>11.5</v>
      </c>
      <c r="F25" s="2">
        <v>35.9</v>
      </c>
      <c r="G25" s="2">
        <v>-4.76</v>
      </c>
      <c r="H25" s="2">
        <v>136.13</v>
      </c>
      <c r="I25" s="2">
        <v>130.78</v>
      </c>
      <c r="J25" s="2">
        <v>86.47</v>
      </c>
      <c r="K25" s="2">
        <v>-28.07</v>
      </c>
    </row>
    <row r="26" spans="1:11" x14ac:dyDescent="0.2">
      <c r="A26" s="2" t="s">
        <v>21</v>
      </c>
      <c r="B26" s="2">
        <v>316.82</v>
      </c>
      <c r="C26" s="2">
        <v>373.6</v>
      </c>
      <c r="D26" s="2">
        <v>441.71</v>
      </c>
      <c r="E26" s="2">
        <v>556</v>
      </c>
      <c r="F26" s="2">
        <v>564.82000000000005</v>
      </c>
      <c r="G26" s="2">
        <v>742.86</v>
      </c>
      <c r="H26" s="2">
        <v>858.86</v>
      </c>
      <c r="I26" s="2">
        <v>956.15</v>
      </c>
      <c r="J26" s="2">
        <v>1045.56</v>
      </c>
      <c r="K26" s="2">
        <v>1272.6400000000001</v>
      </c>
    </row>
    <row r="27" spans="1:11" x14ac:dyDescent="0.2">
      <c r="A27" s="2" t="s">
        <v>22</v>
      </c>
      <c r="B27" s="2">
        <v>59.62</v>
      </c>
      <c r="C27" s="2">
        <v>338.22</v>
      </c>
      <c r="D27" s="2">
        <v>663.4</v>
      </c>
      <c r="E27" s="2">
        <v>854.54</v>
      </c>
      <c r="F27" s="2">
        <v>881.49</v>
      </c>
      <c r="G27" s="2">
        <v>940.22</v>
      </c>
      <c r="H27" s="2">
        <v>1367.89</v>
      </c>
      <c r="I27" s="2">
        <v>1916.6</v>
      </c>
      <c r="J27" s="2">
        <v>2093.25</v>
      </c>
      <c r="K27" s="2">
        <v>2229.8200000000002</v>
      </c>
    </row>
    <row r="28" spans="1:11" x14ac:dyDescent="0.2">
      <c r="A28" s="2" t="s">
        <v>23</v>
      </c>
      <c r="B28" s="2">
        <v>657.96</v>
      </c>
      <c r="C28" s="2">
        <v>930.81</v>
      </c>
      <c r="D28" s="2">
        <v>1082.8499999999999</v>
      </c>
      <c r="E28" s="2">
        <v>865.42</v>
      </c>
      <c r="F28" s="2">
        <v>821.63</v>
      </c>
      <c r="G28" s="2">
        <v>1066.79</v>
      </c>
      <c r="H28" s="2">
        <v>1936.03</v>
      </c>
      <c r="I28" s="2">
        <v>2692.58</v>
      </c>
      <c r="J28" s="2">
        <v>3535.26</v>
      </c>
      <c r="K28" s="2">
        <v>4821.74</v>
      </c>
    </row>
    <row r="29" spans="1:11" x14ac:dyDescent="0.2">
      <c r="A29" s="2" t="s">
        <v>24</v>
      </c>
      <c r="B29" s="2">
        <v>148.66999999999999</v>
      </c>
      <c r="C29" s="2">
        <v>266.02999999999997</v>
      </c>
      <c r="D29" s="2">
        <v>357.45</v>
      </c>
      <c r="E29" s="2">
        <v>218.62</v>
      </c>
      <c r="F29" s="2">
        <v>214.13</v>
      </c>
      <c r="G29" s="2">
        <v>335.91</v>
      </c>
      <c r="H29" s="2">
        <v>626.57000000000005</v>
      </c>
      <c r="I29" s="2">
        <v>914.04</v>
      </c>
      <c r="J29" s="2">
        <v>1155.45</v>
      </c>
      <c r="K29" s="2">
        <v>1635.31</v>
      </c>
    </row>
    <row r="30" spans="1:11" x14ac:dyDescent="0.2">
      <c r="A30" s="2" t="s">
        <v>25</v>
      </c>
      <c r="B30" s="2">
        <v>511.24</v>
      </c>
      <c r="C30" s="2">
        <v>652.35</v>
      </c>
      <c r="D30" s="2">
        <v>704.67</v>
      </c>
      <c r="E30" s="2">
        <v>624.62</v>
      </c>
      <c r="F30" s="2">
        <v>594.26</v>
      </c>
      <c r="G30" s="2">
        <v>756.82</v>
      </c>
      <c r="H30" s="2">
        <v>1328.67</v>
      </c>
      <c r="I30" s="2">
        <v>1686.37</v>
      </c>
      <c r="J30" s="2">
        <v>2235.56</v>
      </c>
      <c r="K30" s="2">
        <v>3018.33</v>
      </c>
    </row>
    <row r="31" spans="1:11" x14ac:dyDescent="0.2">
      <c r="A31" s="2" t="s">
        <v>26</v>
      </c>
      <c r="B31" s="2">
        <v>118.78</v>
      </c>
      <c r="C31" s="2">
        <v>156.78</v>
      </c>
      <c r="D31" s="2">
        <v>166.28</v>
      </c>
      <c r="E31" s="2">
        <v>166.28</v>
      </c>
      <c r="F31" s="2">
        <v>166.28</v>
      </c>
      <c r="G31" s="2">
        <v>178.16</v>
      </c>
      <c r="H31" s="2">
        <v>237.55</v>
      </c>
      <c r="I31" s="2">
        <v>380.08</v>
      </c>
      <c r="J31" s="2">
        <v>475.1</v>
      </c>
      <c r="K31" s="2">
        <v>570.12</v>
      </c>
    </row>
    <row r="40" spans="1:11" x14ac:dyDescent="0.2">
      <c r="A40" s="3" t="s">
        <v>27</v>
      </c>
    </row>
    <row r="41" spans="1:11" s="6" customFormat="1" x14ac:dyDescent="0.2">
      <c r="A41" s="4" t="s">
        <v>11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x14ac:dyDescent="0.2">
      <c r="A42" s="2" t="s">
        <v>12</v>
      </c>
      <c r="B42" s="2">
        <v>9942.48</v>
      </c>
      <c r="C42" s="2">
        <v>10314.469999999999</v>
      </c>
      <c r="D42" s="2">
        <v>11301.68</v>
      </c>
      <c r="E42" s="2">
        <v>11034.88</v>
      </c>
      <c r="F42" s="2">
        <v>11542</v>
      </c>
      <c r="G42" s="2">
        <v>12210.05</v>
      </c>
      <c r="H42" s="2">
        <v>14051.22</v>
      </c>
      <c r="I42" s="2">
        <v>14755.52</v>
      </c>
      <c r="J42" s="2">
        <v>15052.73</v>
      </c>
      <c r="K42" s="2">
        <v>16295.52</v>
      </c>
    </row>
    <row r="43" spans="1:11" x14ac:dyDescent="0.2">
      <c r="A43" s="2" t="s">
        <v>28</v>
      </c>
      <c r="B43" s="2">
        <v>8487.4</v>
      </c>
      <c r="C43" s="2">
        <v>8883.6</v>
      </c>
      <c r="D43" s="2">
        <v>9678.14</v>
      </c>
      <c r="E43" s="2">
        <v>9401.91</v>
      </c>
      <c r="F43" s="2">
        <v>9638.36</v>
      </c>
      <c r="G43" s="2">
        <v>10407.129999999999</v>
      </c>
      <c r="H43" s="2">
        <v>11941.12</v>
      </c>
      <c r="I43" s="2">
        <v>12488.11</v>
      </c>
      <c r="J43" s="2">
        <v>12880.89</v>
      </c>
      <c r="K43" s="2">
        <v>13952.36</v>
      </c>
    </row>
    <row r="44" spans="1:11" x14ac:dyDescent="0.2">
      <c r="A44" s="2" t="s">
        <v>20</v>
      </c>
      <c r="B44" s="2">
        <v>-33.869999999999997</v>
      </c>
      <c r="C44" s="2">
        <v>48.32</v>
      </c>
      <c r="D44" s="2">
        <v>32.31</v>
      </c>
      <c r="E44" s="2">
        <v>69.61</v>
      </c>
      <c r="F44" s="2">
        <v>-57.35</v>
      </c>
      <c r="G44" s="2">
        <v>39.659999999999997</v>
      </c>
      <c r="H44" s="2">
        <v>-14</v>
      </c>
      <c r="I44" s="2">
        <v>-60.38</v>
      </c>
      <c r="J44" s="2">
        <v>6.65</v>
      </c>
      <c r="K44" s="2">
        <v>158.19999999999999</v>
      </c>
    </row>
    <row r="45" spans="1:11" x14ac:dyDescent="0.2">
      <c r="A45" s="2" t="s">
        <v>21</v>
      </c>
      <c r="B45" s="2">
        <v>263.38</v>
      </c>
      <c r="C45" s="2">
        <v>241.34</v>
      </c>
      <c r="D45" s="2">
        <v>259.29000000000002</v>
      </c>
      <c r="E45" s="2">
        <v>258.43</v>
      </c>
      <c r="F45" s="2">
        <v>291.8</v>
      </c>
      <c r="G45" s="2">
        <v>314.83</v>
      </c>
      <c r="H45" s="2">
        <v>320.42</v>
      </c>
      <c r="I45" s="2">
        <v>322.85000000000002</v>
      </c>
      <c r="J45" s="2">
        <v>314.54000000000002</v>
      </c>
      <c r="K45" s="2">
        <v>354</v>
      </c>
    </row>
    <row r="46" spans="1:11" x14ac:dyDescent="0.2">
      <c r="A46" s="2" t="s">
        <v>22</v>
      </c>
      <c r="B46" s="2">
        <v>510.82</v>
      </c>
      <c r="C46" s="2">
        <v>499.87</v>
      </c>
      <c r="D46" s="2">
        <v>509.04</v>
      </c>
      <c r="E46" s="2">
        <v>536.09</v>
      </c>
      <c r="F46" s="2">
        <v>550.79999999999995</v>
      </c>
      <c r="G46" s="2">
        <v>550.55999999999995</v>
      </c>
      <c r="H46" s="2">
        <v>552.39</v>
      </c>
      <c r="I46" s="2">
        <v>561.04999999999995</v>
      </c>
      <c r="J46" s="2">
        <v>565.82000000000005</v>
      </c>
      <c r="K46" s="2">
        <v>602.16999999999996</v>
      </c>
    </row>
    <row r="47" spans="1:11" x14ac:dyDescent="0.2">
      <c r="A47" s="2" t="s">
        <v>23</v>
      </c>
      <c r="B47" s="2">
        <v>647.01</v>
      </c>
      <c r="C47" s="2">
        <v>737.98</v>
      </c>
      <c r="D47" s="2">
        <v>887.52</v>
      </c>
      <c r="E47" s="2">
        <v>908.06</v>
      </c>
      <c r="F47" s="2">
        <v>1003.69</v>
      </c>
      <c r="G47" s="2">
        <v>977.19</v>
      </c>
      <c r="H47" s="2">
        <v>1223.29</v>
      </c>
      <c r="I47" s="2">
        <v>1323.13</v>
      </c>
      <c r="J47" s="2">
        <v>1298.1300000000001</v>
      </c>
      <c r="K47" s="2">
        <v>1545.19</v>
      </c>
    </row>
    <row r="48" spans="1:11" x14ac:dyDescent="0.2">
      <c r="A48" s="2" t="s">
        <v>24</v>
      </c>
      <c r="B48" s="2">
        <v>235.48</v>
      </c>
      <c r="C48" s="2">
        <v>253.16</v>
      </c>
      <c r="D48" s="2">
        <v>299.39</v>
      </c>
      <c r="E48" s="2">
        <v>298.70999999999998</v>
      </c>
      <c r="F48" s="2">
        <v>306.18</v>
      </c>
      <c r="G48" s="2">
        <v>334.33</v>
      </c>
      <c r="H48" s="2">
        <v>390.53</v>
      </c>
      <c r="I48" s="2">
        <v>431.87</v>
      </c>
      <c r="J48" s="2">
        <v>478.58</v>
      </c>
      <c r="K48" s="2">
        <v>487.58</v>
      </c>
    </row>
    <row r="49" spans="1:11" x14ac:dyDescent="0.2">
      <c r="A49" s="2" t="s">
        <v>25</v>
      </c>
      <c r="B49" s="2">
        <v>386.98</v>
      </c>
      <c r="C49" s="2">
        <v>460.88</v>
      </c>
      <c r="D49" s="2">
        <v>560.49</v>
      </c>
      <c r="E49" s="2">
        <v>566.03</v>
      </c>
      <c r="F49" s="2">
        <v>648.16</v>
      </c>
      <c r="G49" s="2">
        <v>610.04</v>
      </c>
      <c r="H49" s="2">
        <v>795.48</v>
      </c>
      <c r="I49" s="2">
        <v>841.29</v>
      </c>
      <c r="J49" s="2">
        <v>771.52</v>
      </c>
      <c r="K49" s="2">
        <v>1019.43</v>
      </c>
    </row>
    <row r="50" spans="1:11" x14ac:dyDescent="0.2">
      <c r="A50" s="2" t="s">
        <v>29</v>
      </c>
      <c r="B50" s="2">
        <v>1455.08</v>
      </c>
      <c r="C50" s="2">
        <v>1430.87</v>
      </c>
      <c r="D50" s="2">
        <v>1623.54</v>
      </c>
      <c r="E50" s="2">
        <v>1632.97</v>
      </c>
      <c r="F50" s="2">
        <v>1903.64</v>
      </c>
      <c r="G50" s="2">
        <v>1802.92</v>
      </c>
      <c r="H50" s="2">
        <v>2110.1</v>
      </c>
      <c r="I50" s="2">
        <v>2267.41</v>
      </c>
      <c r="J50" s="2">
        <v>2171.84</v>
      </c>
      <c r="K50" s="2">
        <v>2343.16</v>
      </c>
    </row>
    <row r="55" spans="1:11" x14ac:dyDescent="0.2">
      <c r="A55" s="3" t="s">
        <v>30</v>
      </c>
    </row>
    <row r="56" spans="1:11" s="6" customFormat="1" x14ac:dyDescent="0.2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">
      <c r="A57" s="2" t="s">
        <v>31</v>
      </c>
      <c r="B57" s="2">
        <v>47.51</v>
      </c>
      <c r="C57" s="2">
        <v>47.51</v>
      </c>
      <c r="D57" s="2">
        <v>47.51</v>
      </c>
      <c r="E57" s="2">
        <v>47.51</v>
      </c>
      <c r="F57" s="2">
        <v>47.51</v>
      </c>
      <c r="G57" s="2">
        <v>47.51</v>
      </c>
      <c r="H57" s="2">
        <v>47.51</v>
      </c>
      <c r="I57" s="2">
        <v>47.51</v>
      </c>
      <c r="J57" s="2">
        <v>47.51</v>
      </c>
      <c r="K57" s="2">
        <v>47.51</v>
      </c>
    </row>
    <row r="58" spans="1:11" x14ac:dyDescent="0.2">
      <c r="A58" s="2" t="s">
        <v>32</v>
      </c>
      <c r="B58" s="2">
        <v>2168.5300000000002</v>
      </c>
      <c r="C58" s="2">
        <v>2629.69</v>
      </c>
      <c r="D58" s="2">
        <v>3122.66</v>
      </c>
      <c r="E58" s="2">
        <v>3234.59</v>
      </c>
      <c r="F58" s="2">
        <v>3779.1</v>
      </c>
      <c r="G58" s="2">
        <v>4351.9399999999996</v>
      </c>
      <c r="H58" s="2">
        <v>5457.49</v>
      </c>
      <c r="I58" s="2">
        <v>6736</v>
      </c>
      <c r="J58" s="2">
        <v>8455.8700000000008</v>
      </c>
      <c r="K58" s="2">
        <v>9516.74</v>
      </c>
    </row>
    <row r="59" spans="1:11" x14ac:dyDescent="0.2">
      <c r="A59" s="2" t="s">
        <v>33</v>
      </c>
      <c r="B59" s="2">
        <v>1310.8</v>
      </c>
      <c r="C59" s="2">
        <v>6927.54</v>
      </c>
      <c r="D59" s="2">
        <v>9298.0499999999993</v>
      </c>
      <c r="E59" s="2">
        <v>11591.45</v>
      </c>
      <c r="F59" s="2">
        <v>12179.16</v>
      </c>
      <c r="G59" s="2">
        <v>15827.21</v>
      </c>
      <c r="H59" s="2">
        <v>22375.58</v>
      </c>
      <c r="I59" s="2">
        <v>26005.7</v>
      </c>
      <c r="J59" s="2">
        <v>28608.71</v>
      </c>
      <c r="K59" s="2">
        <v>32791.01</v>
      </c>
    </row>
    <row r="60" spans="1:11" x14ac:dyDescent="0.2">
      <c r="A60" s="2" t="s">
        <v>34</v>
      </c>
      <c r="B60" s="2">
        <v>2601.12</v>
      </c>
      <c r="C60" s="2">
        <v>3585.56</v>
      </c>
      <c r="D60" s="2">
        <v>4228.2700000000004</v>
      </c>
      <c r="E60" s="2">
        <v>4398.62</v>
      </c>
      <c r="F60" s="2">
        <v>5859.3</v>
      </c>
      <c r="G60" s="2">
        <v>6692.44</v>
      </c>
      <c r="H60" s="2">
        <v>7143.96</v>
      </c>
      <c r="I60" s="2">
        <v>9234.7900000000009</v>
      </c>
      <c r="J60" s="2">
        <v>10538.8</v>
      </c>
      <c r="K60" s="2">
        <v>13790.36</v>
      </c>
    </row>
    <row r="61" spans="1:11" s="3" customFormat="1" x14ac:dyDescent="0.2">
      <c r="A61" s="3" t="s">
        <v>35</v>
      </c>
      <c r="B61" s="3">
        <v>6127.96</v>
      </c>
      <c r="C61" s="3">
        <v>13190.3</v>
      </c>
      <c r="D61" s="3">
        <v>16696.490000000002</v>
      </c>
      <c r="E61" s="3">
        <v>19272.169999999998</v>
      </c>
      <c r="F61" s="3">
        <v>21865.07</v>
      </c>
      <c r="G61" s="3">
        <v>26919.1</v>
      </c>
      <c r="H61" s="3">
        <v>35024.54</v>
      </c>
      <c r="I61" s="3">
        <v>42024</v>
      </c>
      <c r="J61" s="3">
        <v>47650.89</v>
      </c>
      <c r="K61" s="3">
        <v>56145.62</v>
      </c>
    </row>
    <row r="62" spans="1:11" x14ac:dyDescent="0.2">
      <c r="A62" s="2" t="s">
        <v>36</v>
      </c>
      <c r="B62" s="2">
        <v>2362.06</v>
      </c>
      <c r="C62" s="2">
        <v>3093.85</v>
      </c>
      <c r="D62" s="2">
        <v>3366.8</v>
      </c>
      <c r="E62" s="2">
        <v>3810.69</v>
      </c>
      <c r="F62" s="2">
        <v>4221.05</v>
      </c>
      <c r="G62" s="2">
        <v>5974.64</v>
      </c>
      <c r="H62" s="2">
        <v>5748.03</v>
      </c>
      <c r="I62" s="2">
        <v>5890.82</v>
      </c>
      <c r="J62" s="2">
        <v>7644.45</v>
      </c>
      <c r="K62" s="2">
        <v>8633.9500000000007</v>
      </c>
    </row>
    <row r="63" spans="1:11" x14ac:dyDescent="0.2">
      <c r="A63" s="2" t="s">
        <v>37</v>
      </c>
      <c r="B63" s="2">
        <v>63.81</v>
      </c>
      <c r="C63" s="2">
        <v>313.26</v>
      </c>
      <c r="D63" s="2">
        <v>744.51</v>
      </c>
      <c r="E63" s="2">
        <v>1006.01</v>
      </c>
      <c r="F63" s="2">
        <v>1040.77</v>
      </c>
      <c r="G63" s="2">
        <v>551.53</v>
      </c>
      <c r="H63" s="2">
        <v>743.45</v>
      </c>
      <c r="I63" s="2">
        <v>1032.95</v>
      </c>
      <c r="J63" s="2">
        <v>1465.45</v>
      </c>
      <c r="K63" s="2">
        <v>2072.2199999999998</v>
      </c>
    </row>
    <row r="64" spans="1:11" x14ac:dyDescent="0.2">
      <c r="A64" s="2" t="s">
        <v>38</v>
      </c>
      <c r="B64" s="2">
        <v>1155.19</v>
      </c>
      <c r="C64" s="2">
        <v>421.02</v>
      </c>
      <c r="D64" s="2">
        <v>439.73</v>
      </c>
      <c r="E64" s="2">
        <v>370.91</v>
      </c>
      <c r="F64" s="2">
        <v>468.01</v>
      </c>
      <c r="G64" s="2">
        <v>604.55999999999995</v>
      </c>
      <c r="H64" s="2">
        <v>967.25</v>
      </c>
      <c r="I64" s="2">
        <v>1123.19</v>
      </c>
      <c r="J64" s="2">
        <v>1247.3800000000001</v>
      </c>
      <c r="K64" s="2">
        <v>1146.6400000000001</v>
      </c>
    </row>
    <row r="65" spans="1:11" x14ac:dyDescent="0.2">
      <c r="A65" s="2" t="s">
        <v>39</v>
      </c>
      <c r="B65" s="2">
        <v>2546.9</v>
      </c>
      <c r="C65" s="2">
        <v>9362.17</v>
      </c>
      <c r="D65" s="2">
        <v>12145.45</v>
      </c>
      <c r="E65" s="2">
        <v>14084.56</v>
      </c>
      <c r="F65" s="2">
        <v>16135.24</v>
      </c>
      <c r="G65" s="2">
        <v>19788.37</v>
      </c>
      <c r="H65" s="2">
        <v>27565.81</v>
      </c>
      <c r="I65" s="2">
        <v>33977.040000000001</v>
      </c>
      <c r="J65" s="2">
        <v>37293.61</v>
      </c>
      <c r="K65" s="2">
        <v>44292.81</v>
      </c>
    </row>
    <row r="66" spans="1:11" s="3" customFormat="1" x14ac:dyDescent="0.2">
      <c r="A66" s="3" t="s">
        <v>35</v>
      </c>
      <c r="B66" s="3">
        <v>6127.96</v>
      </c>
      <c r="C66" s="3">
        <v>13190.3</v>
      </c>
      <c r="D66" s="3">
        <v>16696.490000000002</v>
      </c>
      <c r="E66" s="3">
        <v>19272.169999999998</v>
      </c>
      <c r="F66" s="3">
        <v>21865.07</v>
      </c>
      <c r="G66" s="3">
        <v>26919.1</v>
      </c>
      <c r="H66" s="3">
        <v>35024.54</v>
      </c>
      <c r="I66" s="3">
        <v>42024</v>
      </c>
      <c r="J66" s="3">
        <v>47650.89</v>
      </c>
      <c r="K66" s="3">
        <v>56145.62</v>
      </c>
    </row>
    <row r="67" spans="1:11" x14ac:dyDescent="0.2">
      <c r="A67" s="2" t="s">
        <v>40</v>
      </c>
      <c r="B67" s="2">
        <v>701.81</v>
      </c>
      <c r="C67" s="2">
        <v>1070.8800000000001</v>
      </c>
      <c r="D67" s="2">
        <v>1546.07</v>
      </c>
      <c r="E67" s="2">
        <v>1454.36</v>
      </c>
      <c r="F67" s="2">
        <v>1029.26</v>
      </c>
      <c r="G67" s="2">
        <v>1177.3</v>
      </c>
      <c r="H67" s="2">
        <v>1256.42</v>
      </c>
      <c r="I67" s="2">
        <v>1839.42</v>
      </c>
      <c r="J67" s="2">
        <v>1716.75</v>
      </c>
      <c r="K67" s="2">
        <v>2654.13</v>
      </c>
    </row>
    <row r="68" spans="1:11" x14ac:dyDescent="0.2">
      <c r="A68" s="2" t="s">
        <v>41</v>
      </c>
      <c r="B68" s="2">
        <v>1161.8599999999999</v>
      </c>
      <c r="C68" s="2">
        <v>1056.1500000000001</v>
      </c>
      <c r="D68" s="2">
        <v>1291.57</v>
      </c>
      <c r="E68" s="2">
        <v>1188.47</v>
      </c>
      <c r="F68" s="2">
        <v>1367.43</v>
      </c>
      <c r="G68" s="2">
        <v>1642.36</v>
      </c>
      <c r="H68" s="2">
        <v>1921.51</v>
      </c>
      <c r="I68" s="2">
        <v>2248.4</v>
      </c>
      <c r="J68" s="2">
        <v>2416.58</v>
      </c>
      <c r="K68" s="2">
        <v>2459.1999999999998</v>
      </c>
    </row>
    <row r="69" spans="1:11" x14ac:dyDescent="0.2">
      <c r="A69" s="2" t="s">
        <v>42</v>
      </c>
      <c r="B69" s="2">
        <v>51.26</v>
      </c>
      <c r="C69" s="2">
        <v>172.93</v>
      </c>
      <c r="D69" s="2">
        <v>206.31</v>
      </c>
      <c r="E69" s="2">
        <v>1107.57</v>
      </c>
      <c r="F69" s="2">
        <v>1656.85</v>
      </c>
      <c r="G69" s="2">
        <v>1535.61</v>
      </c>
      <c r="H69" s="2">
        <v>1879.11</v>
      </c>
      <c r="I69" s="2">
        <v>2425.73</v>
      </c>
      <c r="J69" s="2">
        <v>4386.24</v>
      </c>
      <c r="K69" s="2">
        <v>4501.12</v>
      </c>
    </row>
    <row r="70" spans="1:11" x14ac:dyDescent="0.2">
      <c r="A70" s="2" t="s">
        <v>43</v>
      </c>
      <c r="B70" s="2">
        <v>475087114</v>
      </c>
      <c r="C70" s="2">
        <v>475087114</v>
      </c>
      <c r="D70" s="2">
        <v>475087114</v>
      </c>
      <c r="E70" s="2">
        <v>475087114</v>
      </c>
      <c r="F70" s="2">
        <v>475087114</v>
      </c>
      <c r="G70" s="2">
        <v>475087114</v>
      </c>
      <c r="H70" s="2">
        <v>475087114</v>
      </c>
      <c r="I70" s="2">
        <v>475087114</v>
      </c>
      <c r="J70" s="2">
        <v>475087114</v>
      </c>
      <c r="K70" s="2">
        <v>475087114</v>
      </c>
    </row>
    <row r="71" spans="1:11" x14ac:dyDescent="0.2">
      <c r="A71" s="2" t="s">
        <v>44</v>
      </c>
    </row>
    <row r="72" spans="1:11" x14ac:dyDescent="0.2">
      <c r="A72" s="2" t="s">
        <v>45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</row>
    <row r="80" spans="1:11" x14ac:dyDescent="0.2">
      <c r="A80" s="3" t="s">
        <v>46</v>
      </c>
    </row>
    <row r="81" spans="1:11" s="6" customFormat="1" x14ac:dyDescent="0.2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3" customFormat="1" x14ac:dyDescent="0.2">
      <c r="A82" s="2" t="s">
        <v>47</v>
      </c>
      <c r="B82" s="3">
        <v>689.36</v>
      </c>
      <c r="C82" s="3">
        <v>354.41</v>
      </c>
      <c r="D82" s="3">
        <v>-917.94</v>
      </c>
      <c r="E82" s="3">
        <v>373.43</v>
      </c>
      <c r="F82" s="3">
        <v>1151.29</v>
      </c>
      <c r="G82" s="3">
        <v>-1575.19</v>
      </c>
      <c r="H82" s="3">
        <v>-4404.8100000000004</v>
      </c>
      <c r="I82" s="3">
        <v>-1252.67</v>
      </c>
      <c r="J82" s="3">
        <v>3502.92</v>
      </c>
      <c r="K82" s="3">
        <v>1866.59</v>
      </c>
    </row>
    <row r="83" spans="1:11" x14ac:dyDescent="0.2">
      <c r="A83" s="2" t="s">
        <v>48</v>
      </c>
      <c r="B83" s="2">
        <v>-708.97</v>
      </c>
      <c r="C83" s="2">
        <v>-1095.17</v>
      </c>
      <c r="D83" s="2">
        <v>-1103.6300000000001</v>
      </c>
      <c r="E83" s="2">
        <v>-1090.1500000000001</v>
      </c>
      <c r="F83" s="2">
        <v>-882.37</v>
      </c>
      <c r="G83" s="2">
        <v>-1470.91</v>
      </c>
      <c r="H83" s="2">
        <v>-1307.76</v>
      </c>
      <c r="I83" s="2">
        <v>-1481.36</v>
      </c>
      <c r="J83" s="2">
        <v>-2898.96</v>
      </c>
      <c r="K83" s="2">
        <v>-2964.47</v>
      </c>
    </row>
    <row r="84" spans="1:11" x14ac:dyDescent="0.2">
      <c r="A84" s="2" t="s">
        <v>49</v>
      </c>
      <c r="B84" s="2">
        <v>-58.93</v>
      </c>
      <c r="C84" s="2">
        <v>896.54</v>
      </c>
      <c r="D84" s="2">
        <v>2209.77</v>
      </c>
      <c r="E84" s="2">
        <v>1619.17</v>
      </c>
      <c r="F84" s="2">
        <v>263.5</v>
      </c>
      <c r="G84" s="2">
        <v>2918.02</v>
      </c>
      <c r="H84" s="2">
        <v>6118.08</v>
      </c>
      <c r="I84" s="2">
        <v>3238.64</v>
      </c>
      <c r="J84" s="2">
        <v>1155.24</v>
      </c>
      <c r="K84" s="2">
        <v>909.33</v>
      </c>
    </row>
    <row r="85" spans="1:11" s="3" customFormat="1" x14ac:dyDescent="0.2">
      <c r="A85" s="2" t="s">
        <v>50</v>
      </c>
      <c r="B85" s="3">
        <v>-78.540000000000006</v>
      </c>
      <c r="C85" s="3">
        <v>155.78</v>
      </c>
      <c r="D85" s="3">
        <v>188.2</v>
      </c>
      <c r="E85" s="3">
        <v>902.45</v>
      </c>
      <c r="F85" s="3">
        <v>532.41999999999996</v>
      </c>
      <c r="G85" s="3">
        <v>-128.08000000000001</v>
      </c>
      <c r="H85" s="3">
        <v>405.51</v>
      </c>
      <c r="I85" s="3">
        <v>504.61</v>
      </c>
      <c r="J85" s="3">
        <v>1759.2</v>
      </c>
      <c r="K85" s="3">
        <v>-188.55</v>
      </c>
    </row>
    <row r="90" spans="1:11" s="3" customFormat="1" x14ac:dyDescent="0.2">
      <c r="A90" s="3" t="s">
        <v>51</v>
      </c>
      <c r="B90" s="3">
        <v>430.8</v>
      </c>
      <c r="C90" s="3">
        <v>619.29999999999995</v>
      </c>
      <c r="D90" s="3">
        <v>470.9</v>
      </c>
      <c r="E90" s="3">
        <v>297.55</v>
      </c>
      <c r="F90" s="3">
        <v>585.04999999999995</v>
      </c>
      <c r="G90" s="3">
        <v>625.65</v>
      </c>
      <c r="H90" s="3">
        <v>1077.2</v>
      </c>
      <c r="I90" s="3">
        <v>2151.85</v>
      </c>
      <c r="J90" s="3">
        <v>2419.85</v>
      </c>
      <c r="K90" s="3">
        <v>3363.8</v>
      </c>
    </row>
    <row r="92" spans="1:11" s="3" customFormat="1" x14ac:dyDescent="0.2">
      <c r="A92" s="3" t="s">
        <v>52</v>
      </c>
    </row>
    <row r="93" spans="1:11" x14ac:dyDescent="0.2">
      <c r="A93" s="2" t="s">
        <v>53</v>
      </c>
      <c r="B93" s="7">
        <v>47.51</v>
      </c>
      <c r="C93" s="7">
        <v>47.51</v>
      </c>
      <c r="D93" s="7">
        <v>47.51</v>
      </c>
      <c r="E93" s="7">
        <v>47.51</v>
      </c>
      <c r="F93" s="7">
        <v>47.51</v>
      </c>
      <c r="G93" s="7">
        <v>47.51</v>
      </c>
      <c r="H93" s="7">
        <v>47.51</v>
      </c>
      <c r="I93" s="7">
        <v>47.51</v>
      </c>
      <c r="J93" s="7">
        <v>47.51</v>
      </c>
      <c r="K93" s="7">
        <v>47.51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8"/>
  <sheetViews>
    <sheetView showGridLines="0" topLeftCell="A6" zoomScaleNormal="100" workbookViewId="0">
      <selection activeCell="N18" sqref="N18"/>
    </sheetView>
  </sheetViews>
  <sheetFormatPr baseColWidth="10" defaultColWidth="10.6640625" defaultRowHeight="15" x14ac:dyDescent="0.2"/>
  <cols>
    <col min="1" max="1" width="2" customWidth="1"/>
    <col min="2" max="2" width="30.1640625" customWidth="1"/>
  </cols>
  <sheetData>
    <row r="2" spans="2:12" x14ac:dyDescent="0.2">
      <c r="B2" s="69" t="s">
        <v>54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2:12" x14ac:dyDescent="0.2">
      <c r="B3" s="1" t="s">
        <v>55</v>
      </c>
      <c r="C3" s="8">
        <f>IFERROR('Historical FS'!C3,0)</f>
        <v>17</v>
      </c>
      <c r="D3" s="8">
        <f>IFERROR('Historical FS'!D3,0)</f>
        <v>18</v>
      </c>
      <c r="E3" s="8">
        <f>IFERROR('Historical FS'!E3,0)</f>
        <v>19</v>
      </c>
      <c r="F3" s="8">
        <f>IFERROR('Historical FS'!F3,0)</f>
        <v>20</v>
      </c>
      <c r="G3" s="8">
        <f>IFERROR('Historical FS'!G3,0)</f>
        <v>21</v>
      </c>
      <c r="H3" s="8">
        <f>IFERROR('Historical FS'!H3,0)</f>
        <v>22</v>
      </c>
      <c r="I3" s="8">
        <f>IFERROR('Historical FS'!I3,0)</f>
        <v>23</v>
      </c>
      <c r="J3" s="8">
        <f>IFERROR('Historical FS'!J3,0)</f>
        <v>24</v>
      </c>
      <c r="K3" s="8">
        <f>IFERROR('Historical FS'!K3,0)</f>
        <v>25</v>
      </c>
      <c r="L3" s="8">
        <f>IFERROR('Historical FS'!L3,0)</f>
        <v>26</v>
      </c>
    </row>
    <row r="4" spans="2:12" x14ac:dyDescent="0.2">
      <c r="B4" t="s">
        <v>56</v>
      </c>
      <c r="C4" s="9">
        <v>689</v>
      </c>
      <c r="D4" s="9">
        <v>354</v>
      </c>
      <c r="E4" s="9">
        <v>-918</v>
      </c>
      <c r="F4" s="9">
        <v>373</v>
      </c>
      <c r="G4" s="9">
        <v>1151</v>
      </c>
      <c r="H4" s="9">
        <v>-1575</v>
      </c>
      <c r="I4" s="9">
        <v>-4405</v>
      </c>
      <c r="J4" s="9">
        <v>-1253</v>
      </c>
      <c r="K4" s="9">
        <v>3503</v>
      </c>
      <c r="L4" s="9">
        <v>1867</v>
      </c>
    </row>
    <row r="5" spans="2:12" x14ac:dyDescent="0.2">
      <c r="B5" s="10" t="s">
        <v>57</v>
      </c>
      <c r="C5" s="10">
        <v>924</v>
      </c>
      <c r="D5" s="10">
        <v>1332</v>
      </c>
      <c r="E5" s="10">
        <v>1666</v>
      </c>
      <c r="F5" s="10">
        <v>1497</v>
      </c>
      <c r="G5" s="10">
        <v>1559</v>
      </c>
      <c r="H5" s="10">
        <v>1919</v>
      </c>
      <c r="I5" s="10">
        <v>2931</v>
      </c>
      <c r="J5" s="10">
        <v>3974</v>
      </c>
      <c r="K5" s="10">
        <v>4966</v>
      </c>
      <c r="L5" s="10">
        <v>6507</v>
      </c>
    </row>
    <row r="6" spans="2:12" x14ac:dyDescent="0.2">
      <c r="B6" t="s">
        <v>40</v>
      </c>
      <c r="C6" s="10">
        <v>-214</v>
      </c>
      <c r="D6">
        <v>-348</v>
      </c>
      <c r="E6">
        <v>-483</v>
      </c>
      <c r="F6">
        <v>130</v>
      </c>
      <c r="G6">
        <v>399</v>
      </c>
      <c r="H6">
        <v>-143</v>
      </c>
      <c r="I6">
        <v>-95</v>
      </c>
      <c r="J6">
        <v>-590</v>
      </c>
      <c r="K6">
        <v>110</v>
      </c>
      <c r="L6">
        <v>-875</v>
      </c>
    </row>
    <row r="7" spans="2:12" x14ac:dyDescent="0.2">
      <c r="B7" t="s">
        <v>41</v>
      </c>
      <c r="C7" s="10">
        <v>-279</v>
      </c>
      <c r="D7">
        <v>106</v>
      </c>
      <c r="E7">
        <v>-235</v>
      </c>
      <c r="F7">
        <v>103</v>
      </c>
      <c r="G7">
        <v>-179</v>
      </c>
      <c r="H7">
        <v>-275</v>
      </c>
      <c r="I7">
        <v>-314</v>
      </c>
      <c r="J7">
        <v>-327</v>
      </c>
      <c r="K7">
        <v>-168</v>
      </c>
      <c r="L7">
        <v>-43</v>
      </c>
    </row>
    <row r="8" spans="2:12" x14ac:dyDescent="0.2">
      <c r="B8" t="s">
        <v>58</v>
      </c>
      <c r="C8" s="10">
        <v>328</v>
      </c>
      <c r="D8">
        <v>578</v>
      </c>
      <c r="E8">
        <v>509</v>
      </c>
      <c r="F8">
        <v>22</v>
      </c>
      <c r="G8" s="10">
        <v>1114</v>
      </c>
      <c r="H8">
        <v>366</v>
      </c>
      <c r="I8">
        <v>517</v>
      </c>
      <c r="J8" s="10">
        <v>1538</v>
      </c>
      <c r="K8">
        <v>924</v>
      </c>
      <c r="L8" s="10">
        <v>2274</v>
      </c>
    </row>
    <row r="9" spans="2:12" x14ac:dyDescent="0.2">
      <c r="B9" t="s">
        <v>59</v>
      </c>
      <c r="C9" s="10">
        <v>0</v>
      </c>
      <c r="D9">
        <v>-839</v>
      </c>
      <c r="E9" s="10">
        <v>-2127</v>
      </c>
      <c r="F9" s="10">
        <v>-1178</v>
      </c>
      <c r="G9" s="10">
        <v>-1701</v>
      </c>
      <c r="H9" s="10">
        <v>-2860</v>
      </c>
      <c r="I9" s="10">
        <v>-6531</v>
      </c>
      <c r="J9" s="10">
        <v>-4925</v>
      </c>
      <c r="K9">
        <v>-829</v>
      </c>
      <c r="L9" s="10">
        <v>-3987</v>
      </c>
    </row>
    <row r="10" spans="2:12" x14ac:dyDescent="0.2">
      <c r="B10" t="s">
        <v>60</v>
      </c>
      <c r="C10" s="10">
        <v>67</v>
      </c>
      <c r="D10">
        <v>-148</v>
      </c>
      <c r="E10">
        <v>69</v>
      </c>
      <c r="F10">
        <v>40</v>
      </c>
      <c r="G10">
        <v>210</v>
      </c>
      <c r="H10">
        <v>-217</v>
      </c>
      <c r="I10">
        <v>-305</v>
      </c>
      <c r="J10">
        <v>37</v>
      </c>
      <c r="K10">
        <v>-354</v>
      </c>
      <c r="L10">
        <v>-384</v>
      </c>
    </row>
    <row r="11" spans="2:12" x14ac:dyDescent="0.2">
      <c r="B11" t="s">
        <v>61</v>
      </c>
      <c r="C11">
        <v>-98</v>
      </c>
      <c r="D11">
        <v>-652</v>
      </c>
      <c r="E11" s="10">
        <v>-2267</v>
      </c>
      <c r="F11">
        <v>-881</v>
      </c>
      <c r="G11">
        <v>-157</v>
      </c>
      <c r="H11" s="10">
        <v>-3128</v>
      </c>
      <c r="I11" s="10">
        <v>-6727</v>
      </c>
      <c r="J11" s="10">
        <v>-4268</v>
      </c>
      <c r="K11">
        <v>-316</v>
      </c>
      <c r="L11" s="10">
        <v>-3015</v>
      </c>
    </row>
    <row r="12" spans="2:12" x14ac:dyDescent="0.2">
      <c r="B12" t="s">
        <v>62</v>
      </c>
      <c r="C12" s="10">
        <v>-137</v>
      </c>
      <c r="D12">
        <v>-326</v>
      </c>
      <c r="E12">
        <v>-317</v>
      </c>
      <c r="F12">
        <v>-242</v>
      </c>
      <c r="G12">
        <v>-251</v>
      </c>
      <c r="H12">
        <v>-366</v>
      </c>
      <c r="I12">
        <v>-608</v>
      </c>
      <c r="J12">
        <v>-959</v>
      </c>
      <c r="K12" s="10">
        <v>-1147</v>
      </c>
      <c r="L12" s="10">
        <v>-1626</v>
      </c>
    </row>
    <row r="13" spans="2:12" x14ac:dyDescent="0.2">
      <c r="B13" t="s">
        <v>63</v>
      </c>
      <c r="C13" s="10">
        <v>-709</v>
      </c>
      <c r="D13" s="10">
        <v>-1095</v>
      </c>
      <c r="E13" s="10">
        <v>-1104</v>
      </c>
      <c r="F13" s="10">
        <v>-1090</v>
      </c>
      <c r="G13">
        <v>-882</v>
      </c>
      <c r="H13" s="10">
        <v>-1471</v>
      </c>
      <c r="I13" s="10">
        <v>-1308</v>
      </c>
      <c r="J13" s="10">
        <v>-1481</v>
      </c>
      <c r="K13" s="10">
        <v>-2899</v>
      </c>
      <c r="L13" s="10">
        <v>-2964</v>
      </c>
    </row>
    <row r="14" spans="2:12" x14ac:dyDescent="0.2">
      <c r="B14" t="s">
        <v>64</v>
      </c>
      <c r="C14" s="10">
        <v>-590</v>
      </c>
      <c r="D14">
        <v>-859</v>
      </c>
      <c r="E14">
        <v>-816</v>
      </c>
      <c r="F14" s="10">
        <v>-1021</v>
      </c>
      <c r="G14">
        <v>-928</v>
      </c>
      <c r="H14">
        <v>-970</v>
      </c>
      <c r="I14" s="10">
        <v>-1341</v>
      </c>
      <c r="J14" s="10">
        <v>-1145</v>
      </c>
      <c r="K14" s="10">
        <v>-2478</v>
      </c>
      <c r="L14" s="10">
        <v>-3235</v>
      </c>
    </row>
    <row r="15" spans="2:12" x14ac:dyDescent="0.2">
      <c r="B15" t="s">
        <v>65</v>
      </c>
      <c r="C15">
        <v>8</v>
      </c>
      <c r="D15">
        <v>24</v>
      </c>
      <c r="E15">
        <v>10</v>
      </c>
      <c r="F15">
        <v>30</v>
      </c>
      <c r="G15">
        <v>3</v>
      </c>
      <c r="H15">
        <v>14</v>
      </c>
      <c r="I15">
        <v>22</v>
      </c>
      <c r="J15">
        <v>35</v>
      </c>
      <c r="K15">
        <v>19</v>
      </c>
      <c r="L15">
        <v>89</v>
      </c>
    </row>
    <row r="16" spans="2:12" x14ac:dyDescent="0.2">
      <c r="B16" t="s">
        <v>66</v>
      </c>
      <c r="C16" s="10">
        <v>-43</v>
      </c>
      <c r="D16">
        <v>-247</v>
      </c>
      <c r="E16">
        <v>-324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2:12" x14ac:dyDescent="0.2">
      <c r="B17" t="s">
        <v>67</v>
      </c>
      <c r="C17" s="10">
        <v>-72</v>
      </c>
      <c r="D17">
        <v>-41</v>
      </c>
      <c r="E17">
        <v>-32</v>
      </c>
      <c r="F17">
        <v>-94</v>
      </c>
      <c r="G17">
        <v>-6</v>
      </c>
      <c r="H17">
        <v>-147</v>
      </c>
      <c r="I17">
        <v>-266</v>
      </c>
      <c r="J17">
        <v>-223</v>
      </c>
      <c r="K17">
        <v>-428</v>
      </c>
      <c r="L17">
        <v>-191</v>
      </c>
    </row>
    <row r="18" spans="2:12" x14ac:dyDescent="0.2">
      <c r="B18" t="s">
        <v>68</v>
      </c>
      <c r="C18">
        <v>0</v>
      </c>
      <c r="D18">
        <v>0</v>
      </c>
      <c r="E18">
        <v>3</v>
      </c>
      <c r="F18">
        <v>6</v>
      </c>
      <c r="G18">
        <v>17</v>
      </c>
      <c r="H18">
        <v>87</v>
      </c>
      <c r="I18">
        <v>0</v>
      </c>
      <c r="J18">
        <v>48</v>
      </c>
      <c r="K18">
        <v>56</v>
      </c>
      <c r="L18">
        <v>335</v>
      </c>
    </row>
    <row r="19" spans="2:12" x14ac:dyDescent="0.2">
      <c r="B19" t="s">
        <v>69</v>
      </c>
      <c r="C19" s="10">
        <v>48</v>
      </c>
      <c r="D19">
        <v>3</v>
      </c>
      <c r="E19">
        <v>4</v>
      </c>
      <c r="F19">
        <v>27</v>
      </c>
      <c r="G19">
        <v>29</v>
      </c>
      <c r="H19">
        <v>8</v>
      </c>
      <c r="I19">
        <v>13</v>
      </c>
      <c r="J19">
        <v>24</v>
      </c>
      <c r="K19">
        <v>26</v>
      </c>
      <c r="L19">
        <v>42</v>
      </c>
    </row>
    <row r="20" spans="2:12" x14ac:dyDescent="0.2">
      <c r="B20" t="s">
        <v>70</v>
      </c>
      <c r="C20" s="10">
        <v>1</v>
      </c>
      <c r="D20">
        <v>1</v>
      </c>
      <c r="E20">
        <v>1</v>
      </c>
      <c r="F20">
        <v>1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</row>
    <row r="21" spans="2:12" x14ac:dyDescent="0.2"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-87</v>
      </c>
      <c r="J21">
        <v>-388</v>
      </c>
      <c r="K21">
        <v>-98</v>
      </c>
      <c r="L21">
        <v>-4</v>
      </c>
    </row>
    <row r="22" spans="2:12" x14ac:dyDescent="0.2">
      <c r="B22" t="s">
        <v>72</v>
      </c>
      <c r="C22">
        <v>0</v>
      </c>
      <c r="D22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169</v>
      </c>
      <c r="K22">
        <v>4</v>
      </c>
      <c r="L22">
        <v>0</v>
      </c>
    </row>
    <row r="23" spans="2:12" x14ac:dyDescent="0.2">
      <c r="B23" t="s">
        <v>73</v>
      </c>
      <c r="C23" s="10">
        <v>-40</v>
      </c>
      <c r="D23">
        <v>-33</v>
      </c>
      <c r="E23">
        <v>-6</v>
      </c>
      <c r="F23">
        <v>-39</v>
      </c>
      <c r="G23">
        <v>-53</v>
      </c>
      <c r="H23">
        <v>-75</v>
      </c>
      <c r="I23">
        <v>0</v>
      </c>
      <c r="J23">
        <v>0</v>
      </c>
      <c r="K23">
        <v>0</v>
      </c>
      <c r="L23">
        <v>0</v>
      </c>
    </row>
    <row r="24" spans="2:12" x14ac:dyDescent="0.2">
      <c r="B24" t="s">
        <v>74</v>
      </c>
      <c r="C24" s="10">
        <v>-21</v>
      </c>
      <c r="D24">
        <v>23</v>
      </c>
      <c r="E24">
        <v>56</v>
      </c>
      <c r="F24">
        <v>0</v>
      </c>
      <c r="G24">
        <v>55</v>
      </c>
      <c r="H24">
        <v>-392</v>
      </c>
      <c r="I24">
        <v>351</v>
      </c>
      <c r="J24">
        <v>0</v>
      </c>
      <c r="K24">
        <v>0</v>
      </c>
      <c r="L24">
        <v>0</v>
      </c>
    </row>
    <row r="25" spans="2:12" x14ac:dyDescent="0.2">
      <c r="B25" t="s">
        <v>75</v>
      </c>
      <c r="C25">
        <v>-59</v>
      </c>
      <c r="D25">
        <v>897</v>
      </c>
      <c r="E25" s="10">
        <v>2210</v>
      </c>
      <c r="F25" s="10">
        <v>1619</v>
      </c>
      <c r="G25">
        <v>264</v>
      </c>
      <c r="H25" s="10">
        <v>2918</v>
      </c>
      <c r="I25" s="10">
        <v>6118</v>
      </c>
      <c r="J25" s="10">
        <v>3239</v>
      </c>
      <c r="K25" s="10">
        <v>1155</v>
      </c>
      <c r="L25">
        <v>909</v>
      </c>
    </row>
    <row r="26" spans="2:12" x14ac:dyDescent="0.2">
      <c r="B26" t="s">
        <v>76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</v>
      </c>
    </row>
    <row r="27" spans="2:12" x14ac:dyDescent="0.2">
      <c r="B27" t="s">
        <v>77</v>
      </c>
      <c r="C27" s="10">
        <v>274</v>
      </c>
      <c r="D27">
        <v>694</v>
      </c>
      <c r="E27" s="10">
        <v>2507</v>
      </c>
      <c r="F27" s="10">
        <v>1972</v>
      </c>
      <c r="G27" s="10">
        <v>1271</v>
      </c>
      <c r="H27" s="10">
        <v>3353</v>
      </c>
      <c r="I27" s="10">
        <v>6588</v>
      </c>
      <c r="J27" s="10">
        <v>3844</v>
      </c>
      <c r="K27" s="10">
        <v>2328</v>
      </c>
      <c r="L27" s="10">
        <v>3556</v>
      </c>
    </row>
    <row r="28" spans="2:12" x14ac:dyDescent="0.2">
      <c r="B28" t="s">
        <v>78</v>
      </c>
      <c r="C28" s="10">
        <v>0</v>
      </c>
      <c r="D28">
        <v>0</v>
      </c>
      <c r="E28">
        <v>0</v>
      </c>
      <c r="F28">
        <v>0</v>
      </c>
      <c r="G28">
        <v>-673</v>
      </c>
      <c r="H28">
        <v>0</v>
      </c>
      <c r="I28">
        <v>0</v>
      </c>
      <c r="J28">
        <v>-182</v>
      </c>
      <c r="K28">
        <v>0</v>
      </c>
      <c r="L28" s="10">
        <v>-1448</v>
      </c>
    </row>
    <row r="29" spans="2:12" x14ac:dyDescent="0.2">
      <c r="B29" t="s">
        <v>79</v>
      </c>
      <c r="C29">
        <v>0</v>
      </c>
      <c r="D29">
        <v>6</v>
      </c>
      <c r="E29">
        <v>28</v>
      </c>
      <c r="F29">
        <v>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2:12" x14ac:dyDescent="0.2">
      <c r="B30" t="s">
        <v>80</v>
      </c>
      <c r="C30" s="10">
        <v>-59</v>
      </c>
      <c r="D30">
        <v>-62</v>
      </c>
      <c r="E30">
        <v>-125</v>
      </c>
      <c r="F30">
        <v>-124</v>
      </c>
      <c r="G30">
        <v>-127</v>
      </c>
      <c r="H30">
        <v>-156</v>
      </c>
      <c r="I30">
        <v>-112</v>
      </c>
      <c r="J30">
        <v>-284</v>
      </c>
      <c r="K30">
        <v>-407</v>
      </c>
      <c r="L30">
        <v>-249</v>
      </c>
    </row>
    <row r="31" spans="2:12" x14ac:dyDescent="0.2">
      <c r="B31" t="s">
        <v>81</v>
      </c>
      <c r="C31">
        <v>-143</v>
      </c>
      <c r="D31">
        <v>-189</v>
      </c>
      <c r="E31">
        <v>-200</v>
      </c>
      <c r="F31">
        <v>-200</v>
      </c>
      <c r="G31">
        <v>-100</v>
      </c>
      <c r="H31">
        <v>-190</v>
      </c>
      <c r="I31">
        <v>-292</v>
      </c>
      <c r="J31">
        <v>-380</v>
      </c>
      <c r="K31">
        <v>-475</v>
      </c>
      <c r="L31">
        <v>-570</v>
      </c>
    </row>
    <row r="32" spans="2:12" x14ac:dyDescent="0.2">
      <c r="B32" t="s">
        <v>82</v>
      </c>
      <c r="C32" s="10">
        <v>0</v>
      </c>
      <c r="D32">
        <v>0</v>
      </c>
      <c r="E32">
        <v>0</v>
      </c>
      <c r="F32">
        <v>-43</v>
      </c>
      <c r="G32">
        <v>-52</v>
      </c>
      <c r="H32">
        <v>-82</v>
      </c>
      <c r="I32">
        <v>-128</v>
      </c>
      <c r="J32">
        <v>-196</v>
      </c>
      <c r="K32">
        <v>-238</v>
      </c>
      <c r="L32">
        <v>-414</v>
      </c>
    </row>
    <row r="33" spans="2:12" x14ac:dyDescent="0.2">
      <c r="B33" t="s">
        <v>83</v>
      </c>
      <c r="C33" s="10">
        <v>-131</v>
      </c>
      <c r="D33">
        <v>447</v>
      </c>
      <c r="E33">
        <v>0</v>
      </c>
      <c r="F33">
        <v>0</v>
      </c>
      <c r="G33">
        <v>-55</v>
      </c>
      <c r="H33">
        <v>-7</v>
      </c>
      <c r="I33">
        <v>62</v>
      </c>
      <c r="J33">
        <v>436</v>
      </c>
      <c r="K33">
        <v>-53</v>
      </c>
      <c r="L33">
        <v>28</v>
      </c>
    </row>
    <row r="34" spans="2:12" x14ac:dyDescent="0.2">
      <c r="B34" t="s">
        <v>50</v>
      </c>
      <c r="C34" s="10">
        <v>-79</v>
      </c>
      <c r="D34">
        <v>156</v>
      </c>
      <c r="E34">
        <v>188</v>
      </c>
      <c r="F34">
        <v>902</v>
      </c>
      <c r="G34">
        <v>532</v>
      </c>
      <c r="H34">
        <v>-128</v>
      </c>
      <c r="I34">
        <v>406</v>
      </c>
      <c r="J34">
        <v>505</v>
      </c>
      <c r="K34" s="10">
        <v>1759</v>
      </c>
      <c r="L34">
        <v>-189</v>
      </c>
    </row>
    <row r="35" spans="2:12" x14ac:dyDescent="0.2">
      <c r="B35" t="s">
        <v>84</v>
      </c>
      <c r="C35" s="11">
        <v>65</v>
      </c>
      <c r="D35">
        <v>-727</v>
      </c>
      <c r="E35" s="10">
        <v>-2048</v>
      </c>
      <c r="F35">
        <v>-617</v>
      </c>
      <c r="G35">
        <v>227</v>
      </c>
      <c r="H35" s="10">
        <v>-2531</v>
      </c>
      <c r="I35" s="10">
        <v>-5724</v>
      </c>
      <c r="J35" s="10">
        <v>-2363</v>
      </c>
      <c r="K35" s="10">
        <v>1044</v>
      </c>
      <c r="L35" s="10">
        <v>-1280</v>
      </c>
    </row>
    <row r="36" spans="2:12" x14ac:dyDescent="0.2">
      <c r="B36" t="s">
        <v>85</v>
      </c>
      <c r="C36" s="11">
        <v>0.95</v>
      </c>
      <c r="D36" s="11">
        <v>0.43</v>
      </c>
      <c r="E36" s="11">
        <v>-0.28000000000000003</v>
      </c>
      <c r="F36" s="11">
        <v>0.27</v>
      </c>
      <c r="G36" s="11">
        <v>0.63</v>
      </c>
      <c r="H36" s="11">
        <v>-0.44</v>
      </c>
      <c r="I36" s="11">
        <v>-0.94</v>
      </c>
      <c r="J36" s="11">
        <v>-0.05</v>
      </c>
      <c r="K36" s="11">
        <v>0.71</v>
      </c>
      <c r="L36" s="11">
        <v>0.42</v>
      </c>
    </row>
    <row r="38" spans="2:12" x14ac:dyDescent="0.2">
      <c r="B38" s="51" t="s">
        <v>170</v>
      </c>
    </row>
  </sheetData>
  <mergeCells count="1">
    <mergeCell ref="B2:L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0"/>
  <sheetViews>
    <sheetView showGridLines="0" zoomScaleNormal="111" workbookViewId="0">
      <pane xSplit="1" ySplit="3" topLeftCell="B4" activePane="bottomRight" state="frozen"/>
      <selection pane="topRight" activeCell="B1" sqref="B1"/>
      <selection pane="bottomLeft" activeCell="A65" sqref="A65"/>
      <selection pane="bottomRight" activeCell="N34" sqref="N34"/>
    </sheetView>
  </sheetViews>
  <sheetFormatPr baseColWidth="10" defaultColWidth="10.6640625" defaultRowHeight="15" outlineLevelRow="1" x14ac:dyDescent="0.2"/>
  <cols>
    <col min="1" max="1" width="2" customWidth="1"/>
    <col min="2" max="2" width="46.6640625" customWidth="1"/>
    <col min="3" max="12" width="12.6640625" customWidth="1"/>
    <col min="14" max="14" width="10.83203125" customWidth="1"/>
  </cols>
  <sheetData>
    <row r="1" spans="1:16" x14ac:dyDescent="0.2">
      <c r="B1" t="s">
        <v>86</v>
      </c>
      <c r="J1" t="s">
        <v>87</v>
      </c>
    </row>
    <row r="2" spans="1:16" ht="15" customHeight="1" x14ac:dyDescent="0.2">
      <c r="B2" s="66" t="str">
        <f>"Historical Financial Statement -  "&amp;'Data Sheet'!B1</f>
        <v>Historical Financial Statement -  TVS MOTOR COMPANY LTD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12"/>
    </row>
    <row r="3" spans="1:16" ht="15" customHeight="1" x14ac:dyDescent="0.2">
      <c r="B3" s="13" t="s">
        <v>55</v>
      </c>
      <c r="C3" s="14">
        <f>IFERROR(17,0)</f>
        <v>17</v>
      </c>
      <c r="D3" s="14">
        <f t="shared" ref="D3:L3" si="0">IFERROR(C3+1,0)</f>
        <v>18</v>
      </c>
      <c r="E3" s="14">
        <f t="shared" si="0"/>
        <v>19</v>
      </c>
      <c r="F3" s="14">
        <f t="shared" si="0"/>
        <v>20</v>
      </c>
      <c r="G3" s="14">
        <f t="shared" si="0"/>
        <v>21</v>
      </c>
      <c r="H3" s="14">
        <f t="shared" si="0"/>
        <v>22</v>
      </c>
      <c r="I3" s="14">
        <f t="shared" si="0"/>
        <v>23</v>
      </c>
      <c r="J3" s="14">
        <f t="shared" si="0"/>
        <v>24</v>
      </c>
      <c r="K3" s="14">
        <f t="shared" si="0"/>
        <v>25</v>
      </c>
      <c r="L3" s="14">
        <f t="shared" si="0"/>
        <v>26</v>
      </c>
      <c r="M3" s="15"/>
      <c r="N3" s="16"/>
      <c r="O3" s="16"/>
      <c r="P3" s="16"/>
    </row>
    <row r="4" spans="1:16" x14ac:dyDescent="0.2">
      <c r="A4" t="s">
        <v>88</v>
      </c>
      <c r="B4" s="17" t="s">
        <v>89</v>
      </c>
      <c r="C4" s="17"/>
      <c r="D4" s="17"/>
      <c r="E4" s="17"/>
      <c r="F4" s="17"/>
      <c r="G4" s="17"/>
      <c r="H4" s="17"/>
      <c r="I4" s="17"/>
      <c r="J4" s="17"/>
      <c r="K4" s="18"/>
      <c r="L4" s="18"/>
    </row>
    <row r="5" spans="1:16" outlineLevel="1" x14ac:dyDescent="0.2">
      <c r="B5" t="s">
        <v>12</v>
      </c>
      <c r="C5" s="42">
        <f>IFERROR('Data Sheet'!B17,0)</f>
        <v>12462.62</v>
      </c>
      <c r="D5" s="42">
        <f>IFERROR('Data Sheet'!C17,0)</f>
        <v>16340.25</v>
      </c>
      <c r="E5" s="42">
        <f>IFERROR('Data Sheet'!D17,0)</f>
        <v>20159.990000000002</v>
      </c>
      <c r="F5" s="42">
        <f>IFERROR('Data Sheet'!E17,0)</f>
        <v>18849.310000000001</v>
      </c>
      <c r="G5" s="42">
        <f>IFERROR('Data Sheet'!F17,0)</f>
        <v>19420.82</v>
      </c>
      <c r="H5" s="42">
        <f>IFERROR('Data Sheet'!G17,0)</f>
        <v>24355.31</v>
      </c>
      <c r="I5" s="42">
        <f>IFERROR('Data Sheet'!H17,0)</f>
        <v>31973.99</v>
      </c>
      <c r="J5" s="42">
        <f>IFERROR('Data Sheet'!I17,0)</f>
        <v>38778.82</v>
      </c>
      <c r="K5" s="42">
        <f>IFERROR('Data Sheet'!J17,0)</f>
        <v>44089.01</v>
      </c>
      <c r="L5" s="42">
        <f>IFERROR('Data Sheet'!K17,0)</f>
        <v>56069.52</v>
      </c>
    </row>
    <row r="6" spans="1:16" outlineLevel="1" x14ac:dyDescent="0.2">
      <c r="B6" s="19" t="s">
        <v>90</v>
      </c>
      <c r="C6" s="20"/>
      <c r="D6" s="20">
        <f t="shared" ref="D6:L6" si="1">D5/C5-1</f>
        <v>0.31114083555464256</v>
      </c>
      <c r="E6" s="20">
        <f t="shared" si="1"/>
        <v>0.23376264133045699</v>
      </c>
      <c r="F6" s="20">
        <f t="shared" si="1"/>
        <v>-6.5013921137857755E-2</v>
      </c>
      <c r="G6" s="20">
        <f t="shared" si="1"/>
        <v>3.0319942745914652E-2</v>
      </c>
      <c r="H6" s="20">
        <f t="shared" si="1"/>
        <v>0.25408247437543841</v>
      </c>
      <c r="I6" s="20">
        <f t="shared" si="1"/>
        <v>0.31281392024983457</v>
      </c>
      <c r="J6" s="20">
        <f t="shared" si="1"/>
        <v>0.21282392344527534</v>
      </c>
      <c r="K6" s="20">
        <f t="shared" si="1"/>
        <v>0.1369353167528049</v>
      </c>
      <c r="L6" s="20">
        <f t="shared" si="1"/>
        <v>0.27173461141449984</v>
      </c>
    </row>
    <row r="7" spans="1:16" outlineLevel="1" x14ac:dyDescent="0.2"/>
    <row r="8" spans="1:16" outlineLevel="1" x14ac:dyDescent="0.2">
      <c r="B8" t="s">
        <v>91</v>
      </c>
      <c r="C8" s="42">
        <f>IFERROR(SUM('Data Sheet'!B18:B22),0)</f>
        <v>10113.589999999998</v>
      </c>
      <c r="D8" s="42">
        <f>IFERROR(SUM('Data Sheet'!C18:C22),0)</f>
        <v>12658.630000000001</v>
      </c>
      <c r="E8" s="42">
        <f>IFERROR(SUM('Data Sheet'!D18:D22),0)</f>
        <v>15835.990000000002</v>
      </c>
      <c r="F8" s="42">
        <f>IFERROR(SUM('Data Sheet'!E18:E22),0)</f>
        <v>14109.470000000001</v>
      </c>
      <c r="G8" s="42">
        <f>IFERROR(SUM('Data Sheet'!F18:F22),0)</f>
        <v>14853.579999999998</v>
      </c>
      <c r="H8" s="42">
        <f>IFERROR(SUM('Data Sheet'!G18:G22),0)</f>
        <v>19190.23</v>
      </c>
      <c r="I8" s="42">
        <f>IFERROR(SUM('Data Sheet'!H18:H22),0)</f>
        <v>24361.34</v>
      </c>
      <c r="J8" s="42">
        <f>IFERROR(SUM('Data Sheet'!I18:I22),0)</f>
        <v>28564.68</v>
      </c>
      <c r="K8" s="42">
        <f>IFERROR(SUM('Data Sheet'!J18:J22),0)</f>
        <v>30916.160000000003</v>
      </c>
      <c r="L8" s="42">
        <f>IFERROR(SUM('Data Sheet'!K18:K22),0)</f>
        <v>39002.679999999993</v>
      </c>
    </row>
    <row r="9" spans="1:16" outlineLevel="1" x14ac:dyDescent="0.2">
      <c r="B9" s="19" t="s">
        <v>92</v>
      </c>
      <c r="C9" s="20">
        <f t="shared" ref="C9:L9" si="2">C8/C5</f>
        <v>0.81151395132002724</v>
      </c>
      <c r="D9" s="20">
        <f t="shared" si="2"/>
        <v>0.77469010572053676</v>
      </c>
      <c r="E9" s="20">
        <f t="shared" si="2"/>
        <v>0.7855157666248842</v>
      </c>
      <c r="F9" s="20">
        <f t="shared" si="2"/>
        <v>0.7485403974999616</v>
      </c>
      <c r="G9" s="20">
        <f t="shared" si="2"/>
        <v>0.7648276437349194</v>
      </c>
      <c r="H9" s="20">
        <f t="shared" si="2"/>
        <v>0.78792797135409065</v>
      </c>
      <c r="I9" s="20">
        <f t="shared" si="2"/>
        <v>0.76191116591954899</v>
      </c>
      <c r="J9" s="20">
        <f t="shared" si="2"/>
        <v>0.73660518808978714</v>
      </c>
      <c r="K9" s="20">
        <f t="shared" si="2"/>
        <v>0.70122146085838633</v>
      </c>
      <c r="L9" s="20">
        <f t="shared" si="2"/>
        <v>0.69561287487390644</v>
      </c>
      <c r="M9" t="s">
        <v>93</v>
      </c>
    </row>
    <row r="10" spans="1:16" outlineLevel="1" x14ac:dyDescent="0.2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6" outlineLevel="1" x14ac:dyDescent="0.2">
      <c r="B11" t="s">
        <v>94</v>
      </c>
      <c r="C11" s="42">
        <f t="shared" ref="C11:L11" si="3">C5-C8</f>
        <v>2349.0300000000025</v>
      </c>
      <c r="D11" s="42">
        <f t="shared" si="3"/>
        <v>3681.619999999999</v>
      </c>
      <c r="E11" s="42">
        <f t="shared" si="3"/>
        <v>4324</v>
      </c>
      <c r="F11" s="42">
        <f t="shared" si="3"/>
        <v>4739.84</v>
      </c>
      <c r="G11" s="42">
        <f t="shared" si="3"/>
        <v>4567.2400000000016</v>
      </c>
      <c r="H11" s="42">
        <f t="shared" si="3"/>
        <v>5165.0800000000017</v>
      </c>
      <c r="I11" s="42">
        <f t="shared" si="3"/>
        <v>7612.6500000000015</v>
      </c>
      <c r="J11" s="42">
        <f t="shared" si="3"/>
        <v>10214.14</v>
      </c>
      <c r="K11" s="42">
        <f t="shared" si="3"/>
        <v>13172.849999999999</v>
      </c>
      <c r="L11" s="42">
        <f t="shared" si="3"/>
        <v>17066.840000000004</v>
      </c>
    </row>
    <row r="12" spans="1:16" outlineLevel="1" x14ac:dyDescent="0.2">
      <c r="B12" s="19" t="s">
        <v>95</v>
      </c>
      <c r="C12" s="20">
        <f t="shared" ref="C12:L12" si="4">C11/C5</f>
        <v>0.18848604867997279</v>
      </c>
      <c r="D12" s="20">
        <f t="shared" si="4"/>
        <v>0.22530989427946321</v>
      </c>
      <c r="E12" s="20">
        <f t="shared" si="4"/>
        <v>0.21448423337511574</v>
      </c>
      <c r="F12" s="20">
        <f t="shared" si="4"/>
        <v>0.25145960250003846</v>
      </c>
      <c r="G12" s="20">
        <f t="shared" si="4"/>
        <v>0.23517235626508054</v>
      </c>
      <c r="H12" s="20">
        <f t="shared" si="4"/>
        <v>0.21207202864590932</v>
      </c>
      <c r="I12" s="20">
        <f t="shared" si="4"/>
        <v>0.23808883408045106</v>
      </c>
      <c r="J12" s="20">
        <f t="shared" si="4"/>
        <v>0.26339481191021286</v>
      </c>
      <c r="K12" s="20">
        <f t="shared" si="4"/>
        <v>0.29877853914161367</v>
      </c>
      <c r="L12" s="20">
        <f t="shared" si="4"/>
        <v>0.30438712512609356</v>
      </c>
    </row>
    <row r="13" spans="1:16" outlineLevel="1" x14ac:dyDescent="0.2"/>
    <row r="14" spans="1:16" outlineLevel="1" x14ac:dyDescent="0.2">
      <c r="B14" t="s">
        <v>96</v>
      </c>
      <c r="C14" s="42">
        <f>IFERROR(SUM('Data Sheet'!B23:B24),0)</f>
        <v>1575.31</v>
      </c>
      <c r="D14" s="42">
        <f>IFERROR(SUM('Data Sheet'!C23:C24),0)</f>
        <v>2042.22</v>
      </c>
      <c r="E14" s="42">
        <f>IFERROR(SUM('Data Sheet'!D23:D24),0)</f>
        <v>2318.86</v>
      </c>
      <c r="F14" s="42">
        <f>IFERROR(SUM('Data Sheet'!E23:E24),0)</f>
        <v>2461.92</v>
      </c>
      <c r="G14" s="42">
        <f>IFERROR(SUM('Data Sheet'!F23:F24),0)</f>
        <v>2335.58</v>
      </c>
      <c r="H14" s="42">
        <f>IFERROR(SUM('Data Sheet'!G23:G24),0)</f>
        <v>2931.25</v>
      </c>
      <c r="I14" s="42">
        <f>IFERROR(SUM('Data Sheet'!H23:H24),0)</f>
        <v>3867.86</v>
      </c>
      <c r="J14" s="42">
        <f>IFERROR(SUM('Data Sheet'!I23:I24),0)</f>
        <v>5426.33</v>
      </c>
      <c r="K14" s="42">
        <f>IFERROR(SUM('Data Sheet'!J23:J24),0)</f>
        <v>6743.6900000000005</v>
      </c>
      <c r="L14" s="42">
        <f>IFERROR(SUM('Data Sheet'!K23:K24),0)</f>
        <v>7956.4699999999993</v>
      </c>
    </row>
    <row r="15" spans="1:16" outlineLevel="1" x14ac:dyDescent="0.2">
      <c r="B15" s="19" t="s">
        <v>97</v>
      </c>
      <c r="C15" s="20">
        <f t="shared" ref="C15:L15" si="5">C14/C5</f>
        <v>0.12640279491792256</v>
      </c>
      <c r="D15" s="20">
        <f t="shared" si="5"/>
        <v>0.12498095194381971</v>
      </c>
      <c r="E15" s="20">
        <f t="shared" si="5"/>
        <v>0.11502287451531473</v>
      </c>
      <c r="F15" s="20">
        <f t="shared" si="5"/>
        <v>0.13061061651593611</v>
      </c>
      <c r="G15" s="20">
        <f t="shared" si="5"/>
        <v>0.12026165733475723</v>
      </c>
      <c r="H15" s="20">
        <f t="shared" si="5"/>
        <v>0.12035363130257837</v>
      </c>
      <c r="I15" s="20">
        <f t="shared" si="5"/>
        <v>0.12096895007473261</v>
      </c>
      <c r="J15" s="20">
        <f t="shared" si="5"/>
        <v>0.13993025058524214</v>
      </c>
      <c r="K15" s="20">
        <f t="shared" si="5"/>
        <v>0.15295625826027848</v>
      </c>
      <c r="L15" s="20">
        <f t="shared" si="5"/>
        <v>0.14190365817292533</v>
      </c>
    </row>
    <row r="16" spans="1:16" outlineLevel="1" x14ac:dyDescent="0.2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3" outlineLevel="1" x14ac:dyDescent="0.2">
      <c r="B17" t="s">
        <v>98</v>
      </c>
      <c r="C17" s="42">
        <f t="shared" ref="C17:L17" si="6">C11-C14</f>
        <v>773.72000000000253</v>
      </c>
      <c r="D17" s="42">
        <f t="shared" si="6"/>
        <v>1639.399999999999</v>
      </c>
      <c r="E17" s="42">
        <f t="shared" si="6"/>
        <v>2005.1399999999999</v>
      </c>
      <c r="F17" s="42">
        <f t="shared" si="6"/>
        <v>2277.92</v>
      </c>
      <c r="G17" s="42">
        <f t="shared" si="6"/>
        <v>2231.6600000000017</v>
      </c>
      <c r="H17" s="42">
        <f t="shared" si="6"/>
        <v>2233.8300000000017</v>
      </c>
      <c r="I17" s="42">
        <f t="shared" si="6"/>
        <v>3744.7900000000013</v>
      </c>
      <c r="J17" s="42">
        <f t="shared" si="6"/>
        <v>4787.8099999999995</v>
      </c>
      <c r="K17" s="42">
        <f t="shared" si="6"/>
        <v>6429.159999999998</v>
      </c>
      <c r="L17" s="42">
        <f t="shared" si="6"/>
        <v>9110.3700000000044</v>
      </c>
    </row>
    <row r="18" spans="2:13" outlineLevel="1" x14ac:dyDescent="0.2">
      <c r="B18" s="19" t="s">
        <v>99</v>
      </c>
      <c r="C18" s="20">
        <f t="shared" ref="C18:L18" si="7">C17/C5</f>
        <v>6.2083253762050233E-2</v>
      </c>
      <c r="D18" s="20">
        <f t="shared" si="7"/>
        <v>0.10032894233564352</v>
      </c>
      <c r="E18" s="20">
        <f t="shared" si="7"/>
        <v>9.9461358859801008E-2</v>
      </c>
      <c r="F18" s="20">
        <f t="shared" si="7"/>
        <v>0.12084898598410233</v>
      </c>
      <c r="G18" s="20">
        <f t="shared" si="7"/>
        <v>0.11491069893032332</v>
      </c>
      <c r="H18" s="20">
        <f t="shared" si="7"/>
        <v>9.171839734333094E-2</v>
      </c>
      <c r="I18" s="20">
        <f t="shared" si="7"/>
        <v>0.11711988400571843</v>
      </c>
      <c r="J18" s="20">
        <f t="shared" si="7"/>
        <v>0.12346456132497068</v>
      </c>
      <c r="K18" s="20">
        <f t="shared" si="7"/>
        <v>0.14582228088133523</v>
      </c>
      <c r="L18" s="20">
        <f t="shared" si="7"/>
        <v>0.16248346695316823</v>
      </c>
    </row>
    <row r="19" spans="2:13" outlineLevel="1" x14ac:dyDescent="0.2"/>
    <row r="20" spans="2:13" outlineLevel="1" x14ac:dyDescent="0.2">
      <c r="B20" t="s">
        <v>22</v>
      </c>
      <c r="C20" s="42">
        <f>IFERROR('Data Sheet'!B27,0)</f>
        <v>59.62</v>
      </c>
      <c r="D20" s="42">
        <f>IFERROR('Data Sheet'!C27,0)</f>
        <v>338.22</v>
      </c>
      <c r="E20" s="42">
        <f>IFERROR('Data Sheet'!D27,0)</f>
        <v>663.4</v>
      </c>
      <c r="F20" s="42">
        <f>IFERROR('Data Sheet'!E27,0)</f>
        <v>854.54</v>
      </c>
      <c r="G20" s="42">
        <f>IFERROR('Data Sheet'!F27,0)</f>
        <v>881.49</v>
      </c>
      <c r="H20" s="42">
        <f>IFERROR('Data Sheet'!G27,0)</f>
        <v>940.22</v>
      </c>
      <c r="I20" s="42">
        <f>IFERROR('Data Sheet'!H27,0)</f>
        <v>1367.89</v>
      </c>
      <c r="J20" s="42">
        <f>IFERROR('Data Sheet'!I27,0)</f>
        <v>1916.6</v>
      </c>
      <c r="K20" s="42">
        <f>IFERROR('Data Sheet'!J27,0)</f>
        <v>2093.25</v>
      </c>
      <c r="L20" s="42">
        <f>IFERROR('Data Sheet'!K27,0)</f>
        <v>2229.8200000000002</v>
      </c>
    </row>
    <row r="21" spans="2:13" outlineLevel="1" x14ac:dyDescent="0.2">
      <c r="B21" s="19" t="s">
        <v>100</v>
      </c>
      <c r="C21" s="20">
        <f t="shared" ref="C21:L21" si="8">C20/C5</f>
        <v>4.7839057918800379E-3</v>
      </c>
      <c r="D21" s="20">
        <f t="shared" si="8"/>
        <v>2.0698581723045853E-2</v>
      </c>
      <c r="E21" s="20">
        <f t="shared" si="8"/>
        <v>3.2906762354544816E-2</v>
      </c>
      <c r="F21" s="20">
        <f t="shared" si="8"/>
        <v>4.5335346492789384E-2</v>
      </c>
      <c r="G21" s="20">
        <f t="shared" si="8"/>
        <v>4.5388917666710264E-2</v>
      </c>
      <c r="H21" s="20">
        <f t="shared" si="8"/>
        <v>3.8604312570852103E-2</v>
      </c>
      <c r="I21" s="20">
        <f t="shared" si="8"/>
        <v>4.2781335704427256E-2</v>
      </c>
      <c r="J21" s="20">
        <f t="shared" si="8"/>
        <v>4.9423886544252761E-2</v>
      </c>
      <c r="K21" s="20">
        <f t="shared" si="8"/>
        <v>4.7477818168291823E-2</v>
      </c>
      <c r="L21" s="20">
        <f t="shared" si="8"/>
        <v>3.9768844106387931E-2</v>
      </c>
    </row>
    <row r="22" spans="2:13" outlineLevel="1" x14ac:dyDescent="0.2"/>
    <row r="23" spans="2:13" outlineLevel="1" x14ac:dyDescent="0.2">
      <c r="B23" t="s">
        <v>21</v>
      </c>
      <c r="C23" s="42">
        <f>IFERROR('Data Sheet'!B26,0)</f>
        <v>316.82</v>
      </c>
      <c r="D23" s="42">
        <f>IFERROR('Data Sheet'!C26,0)</f>
        <v>373.6</v>
      </c>
      <c r="E23" s="42">
        <f>IFERROR('Data Sheet'!D26,0)</f>
        <v>441.71</v>
      </c>
      <c r="F23" s="42">
        <f>IFERROR('Data Sheet'!E26,0)</f>
        <v>556</v>
      </c>
      <c r="G23" s="42">
        <f>IFERROR('Data Sheet'!F26,0)</f>
        <v>564.82000000000005</v>
      </c>
      <c r="H23" s="42">
        <f>IFERROR('Data Sheet'!G26,0)</f>
        <v>742.86</v>
      </c>
      <c r="I23" s="42">
        <f>IFERROR('Data Sheet'!H26,0)</f>
        <v>858.86</v>
      </c>
      <c r="J23" s="42">
        <f>IFERROR('Data Sheet'!I26,0)</f>
        <v>956.15</v>
      </c>
      <c r="K23" s="42">
        <f>IFERROR('Data Sheet'!J26,0)</f>
        <v>1045.56</v>
      </c>
      <c r="L23" s="42">
        <f>IFERROR('Data Sheet'!K26,0)</f>
        <v>1272.6400000000001</v>
      </c>
    </row>
    <row r="24" spans="2:13" outlineLevel="1" x14ac:dyDescent="0.2">
      <c r="B24" s="19" t="s">
        <v>101</v>
      </c>
      <c r="C24" s="20">
        <f t="shared" ref="C24:L24" si="9">C23/C5</f>
        <v>2.5421620814884829E-2</v>
      </c>
      <c r="D24" s="20">
        <f t="shared" si="9"/>
        <v>2.2863787273756524E-2</v>
      </c>
      <c r="E24" s="20">
        <f t="shared" si="9"/>
        <v>2.191022912213746E-2</v>
      </c>
      <c r="F24" s="20">
        <f t="shared" si="9"/>
        <v>2.9497100954889062E-2</v>
      </c>
      <c r="G24" s="20">
        <f t="shared" si="9"/>
        <v>2.9083220996847715E-2</v>
      </c>
      <c r="H24" s="20">
        <f t="shared" si="9"/>
        <v>3.050094620023313E-2</v>
      </c>
      <c r="I24" s="20">
        <f t="shared" si="9"/>
        <v>2.6861208125729695E-2</v>
      </c>
      <c r="J24" s="20">
        <f t="shared" si="9"/>
        <v>2.4656500636172012E-2</v>
      </c>
      <c r="K24" s="20">
        <f t="shared" si="9"/>
        <v>2.3714753404533235E-2</v>
      </c>
      <c r="L24" s="20">
        <f t="shared" si="9"/>
        <v>2.2697536914887094E-2</v>
      </c>
    </row>
    <row r="25" spans="2:13" outlineLevel="1" x14ac:dyDescent="0.2">
      <c r="B25" s="22"/>
      <c r="C25" s="22"/>
      <c r="D25" s="22"/>
      <c r="E25" s="22"/>
      <c r="F25" s="22"/>
      <c r="G25" s="22"/>
      <c r="H25" s="22"/>
      <c r="I25" s="22"/>
      <c r="J25" s="23"/>
      <c r="K25" s="23"/>
      <c r="L25" s="23"/>
    </row>
    <row r="26" spans="2:13" outlineLevel="1" x14ac:dyDescent="0.2">
      <c r="B26" s="24" t="s">
        <v>102</v>
      </c>
      <c r="C26" s="42">
        <f t="shared" ref="C26:L26" si="10">IFERROR(C17-C23,0)</f>
        <v>456.90000000000254</v>
      </c>
      <c r="D26" s="42">
        <f t="shared" si="10"/>
        <v>1265.7999999999988</v>
      </c>
      <c r="E26" s="42">
        <f t="shared" si="10"/>
        <v>1563.4299999999998</v>
      </c>
      <c r="F26" s="42">
        <f t="shared" si="10"/>
        <v>1721.92</v>
      </c>
      <c r="G26" s="42">
        <f t="shared" si="10"/>
        <v>1666.8400000000015</v>
      </c>
      <c r="H26" s="42">
        <f t="shared" si="10"/>
        <v>1490.9700000000016</v>
      </c>
      <c r="I26" s="42">
        <f t="shared" si="10"/>
        <v>2885.9300000000012</v>
      </c>
      <c r="J26" s="42">
        <f t="shared" si="10"/>
        <v>3831.6599999999994</v>
      </c>
      <c r="K26" s="42">
        <f t="shared" si="10"/>
        <v>5383.5999999999985</v>
      </c>
      <c r="L26" s="42">
        <f t="shared" si="10"/>
        <v>7837.7300000000041</v>
      </c>
    </row>
    <row r="27" spans="2:13" outlineLevel="1" x14ac:dyDescent="0.2">
      <c r="B27" s="19" t="s">
        <v>103</v>
      </c>
      <c r="C27" s="20">
        <f t="shared" ref="C27:L27" si="11">IFERROR(C26/C5,0)</f>
        <v>3.6661632947165401E-2</v>
      </c>
      <c r="D27" s="20">
        <f t="shared" si="11"/>
        <v>7.7465155061886989E-2</v>
      </c>
      <c r="E27" s="20">
        <f t="shared" si="11"/>
        <v>7.7551129737663552E-2</v>
      </c>
      <c r="F27" s="20">
        <f t="shared" si="11"/>
        <v>9.1351885029213264E-2</v>
      </c>
      <c r="G27" s="20">
        <f t="shared" si="11"/>
        <v>8.5827477933475602E-2</v>
      </c>
      <c r="H27" s="20">
        <f t="shared" si="11"/>
        <v>6.121745114309781E-2</v>
      </c>
      <c r="I27" s="20">
        <f t="shared" si="11"/>
        <v>9.0258675879988731E-2</v>
      </c>
      <c r="J27" s="20">
        <f t="shared" si="11"/>
        <v>9.880806068879866E-2</v>
      </c>
      <c r="K27" s="20">
        <f t="shared" si="11"/>
        <v>0.12210752747680201</v>
      </c>
      <c r="L27" s="20">
        <f t="shared" si="11"/>
        <v>0.13978593003828113</v>
      </c>
    </row>
    <row r="28" spans="2:13" outlineLevel="1" x14ac:dyDescent="0.2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2:13" outlineLevel="1" x14ac:dyDescent="0.2">
      <c r="B29" t="s">
        <v>104</v>
      </c>
      <c r="C29" s="42">
        <f t="shared" ref="C29:L29" si="12">IFERROR(C17-SUM(C20,C23),0)</f>
        <v>397.28000000000253</v>
      </c>
      <c r="D29" s="42">
        <f t="shared" si="12"/>
        <v>927.5799999999989</v>
      </c>
      <c r="E29" s="42">
        <f t="shared" si="12"/>
        <v>900.03</v>
      </c>
      <c r="F29" s="42">
        <f t="shared" si="12"/>
        <v>867.38000000000011</v>
      </c>
      <c r="G29" s="42">
        <f t="shared" si="12"/>
        <v>785.35000000000173</v>
      </c>
      <c r="H29" s="42">
        <f t="shared" si="12"/>
        <v>550.75000000000182</v>
      </c>
      <c r="I29" s="42">
        <f t="shared" si="12"/>
        <v>1518.0400000000013</v>
      </c>
      <c r="J29" s="42">
        <f t="shared" si="12"/>
        <v>1915.0599999999995</v>
      </c>
      <c r="K29" s="42">
        <f t="shared" si="12"/>
        <v>3290.3499999999981</v>
      </c>
      <c r="L29" s="42">
        <f t="shared" si="12"/>
        <v>5607.9100000000044</v>
      </c>
    </row>
    <row r="30" spans="2:13" outlineLevel="1" x14ac:dyDescent="0.2">
      <c r="B30" s="19" t="s">
        <v>105</v>
      </c>
      <c r="C30" s="20">
        <f t="shared" ref="C30:L30" si="13">C29/C5</f>
        <v>3.1877727155285362E-2</v>
      </c>
      <c r="D30" s="20">
        <f t="shared" si="13"/>
        <v>5.6766573338841136E-2</v>
      </c>
      <c r="E30" s="20">
        <f t="shared" si="13"/>
        <v>4.4644367383118735E-2</v>
      </c>
      <c r="F30" s="20">
        <f t="shared" si="13"/>
        <v>4.601653853642388E-2</v>
      </c>
      <c r="G30" s="20">
        <f t="shared" si="13"/>
        <v>4.0438560266765344E-2</v>
      </c>
      <c r="H30" s="20">
        <f t="shared" si="13"/>
        <v>2.2613138572245714E-2</v>
      </c>
      <c r="I30" s="20">
        <f t="shared" si="13"/>
        <v>4.7477340175561489E-2</v>
      </c>
      <c r="J30" s="20">
        <f t="shared" si="13"/>
        <v>4.9384174144545899E-2</v>
      </c>
      <c r="K30" s="20">
        <f t="shared" si="13"/>
        <v>7.4629709308510164E-2</v>
      </c>
      <c r="L30" s="20">
        <f t="shared" si="13"/>
        <v>0.10001708593189321</v>
      </c>
    </row>
    <row r="31" spans="2:13" outlineLevel="1" x14ac:dyDescent="0.2"/>
    <row r="32" spans="2:13" outlineLevel="1" x14ac:dyDescent="0.2">
      <c r="B32" t="s">
        <v>24</v>
      </c>
      <c r="C32" s="42">
        <f>IFERROR('Data Sheet'!B29,0)</f>
        <v>148.66999999999999</v>
      </c>
      <c r="D32" s="42">
        <f>IFERROR('Data Sheet'!C29,0)</f>
        <v>266.02999999999997</v>
      </c>
      <c r="E32" s="42">
        <f>IFERROR('Data Sheet'!D29,0)</f>
        <v>357.45</v>
      </c>
      <c r="F32" s="42">
        <f>IFERROR('Data Sheet'!E29,0)</f>
        <v>218.62</v>
      </c>
      <c r="G32" s="42">
        <f>IFERROR('Data Sheet'!F29,0)</f>
        <v>214.13</v>
      </c>
      <c r="H32" s="42">
        <f>IFERROR('Data Sheet'!G29,0)</f>
        <v>335.91</v>
      </c>
      <c r="I32" s="42">
        <f>IFERROR('Data Sheet'!H29,0)</f>
        <v>626.57000000000005</v>
      </c>
      <c r="J32" s="42">
        <f>IFERROR('Data Sheet'!I29,0)</f>
        <v>914.04</v>
      </c>
      <c r="K32" s="42">
        <f>IFERROR('Data Sheet'!J29,0)</f>
        <v>1155.45</v>
      </c>
      <c r="L32" s="42">
        <f>IFERROR('Data Sheet'!K29,0)</f>
        <v>1635.31</v>
      </c>
      <c r="M32" s="42"/>
    </row>
    <row r="33" spans="1:12" outlineLevel="1" x14ac:dyDescent="0.2">
      <c r="B33" s="19" t="s">
        <v>106</v>
      </c>
      <c r="C33" s="20">
        <f t="shared" ref="C33:L33" si="14">C32/C29</f>
        <v>0.3742196939186444</v>
      </c>
      <c r="D33" s="20">
        <f t="shared" si="14"/>
        <v>0.2868000603721515</v>
      </c>
      <c r="E33" s="20">
        <f t="shared" si="14"/>
        <v>0.39715342821905936</v>
      </c>
      <c r="F33" s="20">
        <f t="shared" si="14"/>
        <v>0.25204639258456496</v>
      </c>
      <c r="G33" s="20">
        <f t="shared" si="14"/>
        <v>0.27265550391545113</v>
      </c>
      <c r="H33" s="20">
        <f t="shared" si="14"/>
        <v>0.60991375397185454</v>
      </c>
      <c r="I33" s="20">
        <f t="shared" si="14"/>
        <v>0.41274933466838787</v>
      </c>
      <c r="J33" s="20">
        <f t="shared" si="14"/>
        <v>0.47729052875627931</v>
      </c>
      <c r="K33" s="20">
        <f t="shared" si="14"/>
        <v>0.35116325011017085</v>
      </c>
      <c r="L33" s="20">
        <f t="shared" si="14"/>
        <v>0.29160774691462571</v>
      </c>
    </row>
    <row r="34" spans="1:12" outlineLevel="1" x14ac:dyDescent="0.2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outlineLevel="1" x14ac:dyDescent="0.2">
      <c r="B35" t="s">
        <v>107</v>
      </c>
      <c r="C35" s="42">
        <f>IFERROR('Data Sheet'!B30,0)</f>
        <v>511.24</v>
      </c>
      <c r="D35" s="42">
        <f>IFERROR('Data Sheet'!C30,0)</f>
        <v>652.35</v>
      </c>
      <c r="E35" s="42">
        <f>IFERROR('Data Sheet'!D30,0)</f>
        <v>704.67</v>
      </c>
      <c r="F35" s="42">
        <f>IFERROR('Data Sheet'!E30,0)</f>
        <v>624.62</v>
      </c>
      <c r="G35" s="42">
        <f>IFERROR('Data Sheet'!F30,0)</f>
        <v>594.26</v>
      </c>
      <c r="H35" s="42">
        <f>IFERROR('Data Sheet'!G30,0)</f>
        <v>756.82</v>
      </c>
      <c r="I35" s="42">
        <f>IFERROR('Data Sheet'!H30,0)</f>
        <v>1328.67</v>
      </c>
      <c r="J35" s="42">
        <f>IFERROR('Data Sheet'!I30,0)</f>
        <v>1686.37</v>
      </c>
      <c r="K35" s="42">
        <f>IFERROR('Data Sheet'!J30,0)</f>
        <v>2235.56</v>
      </c>
      <c r="L35" s="42">
        <f>IFERROR('Data Sheet'!K30,0)</f>
        <v>3018.33</v>
      </c>
    </row>
    <row r="36" spans="1:12" outlineLevel="1" x14ac:dyDescent="0.2">
      <c r="B36" s="19" t="s">
        <v>108</v>
      </c>
      <c r="C36" s="20">
        <f t="shared" ref="C36:L36" si="15">C35/C5</f>
        <v>4.1021871805447009E-2</v>
      </c>
      <c r="D36" s="20">
        <f t="shared" si="15"/>
        <v>3.9922889796667742E-2</v>
      </c>
      <c r="E36" s="20">
        <f t="shared" si="15"/>
        <v>3.4953886385856336E-2</v>
      </c>
      <c r="F36" s="20">
        <f t="shared" si="15"/>
        <v>3.3137552515184902E-2</v>
      </c>
      <c r="G36" s="20">
        <f t="shared" si="15"/>
        <v>3.0599119913577284E-2</v>
      </c>
      <c r="H36" s="20">
        <f t="shared" si="15"/>
        <v>3.1074127161592278E-2</v>
      </c>
      <c r="I36" s="20">
        <f t="shared" si="15"/>
        <v>4.1554713690721737E-2</v>
      </c>
      <c r="J36" s="20">
        <f t="shared" si="15"/>
        <v>4.3486882788078642E-2</v>
      </c>
      <c r="K36" s="20">
        <f t="shared" si="15"/>
        <v>5.0705606680667127E-2</v>
      </c>
      <c r="L36" s="20">
        <f t="shared" si="15"/>
        <v>5.3831921514576907E-2</v>
      </c>
    </row>
    <row r="37" spans="1:12" outlineLevel="1" x14ac:dyDescent="0.2"/>
    <row r="38" spans="1:12" outlineLevel="1" x14ac:dyDescent="0.2">
      <c r="B38" t="s">
        <v>43</v>
      </c>
      <c r="C38" s="42">
        <f>IFERROR('Data Sheet'!B93,0)</f>
        <v>47.51</v>
      </c>
      <c r="D38" s="42">
        <f>IFERROR('Data Sheet'!C93,0)</f>
        <v>47.51</v>
      </c>
      <c r="E38" s="42">
        <f>IFERROR('Data Sheet'!D93,0)</f>
        <v>47.51</v>
      </c>
      <c r="F38" s="42">
        <f>IFERROR('Data Sheet'!E93,0)</f>
        <v>47.51</v>
      </c>
      <c r="G38" s="42">
        <f>IFERROR('Data Sheet'!F93,0)</f>
        <v>47.51</v>
      </c>
      <c r="H38" s="42">
        <f>IFERROR('Data Sheet'!G93,0)</f>
        <v>47.51</v>
      </c>
      <c r="I38" s="42">
        <f>IFERROR('Data Sheet'!H93,0)</f>
        <v>47.51</v>
      </c>
      <c r="J38" s="42">
        <f>IFERROR('Data Sheet'!I93,0)</f>
        <v>47.51</v>
      </c>
      <c r="K38" s="42">
        <f>IFERROR('Data Sheet'!J93,0)</f>
        <v>47.51</v>
      </c>
      <c r="L38" s="42">
        <f>IFERROR('Data Sheet'!K93,0)</f>
        <v>47.51</v>
      </c>
    </row>
    <row r="39" spans="1:12" outlineLevel="1" x14ac:dyDescent="0.2"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2" outlineLevel="1" x14ac:dyDescent="0.2">
      <c r="B40" t="s">
        <v>109</v>
      </c>
      <c r="C40" s="42">
        <f t="shared" ref="C40:L40" si="16">IFERROR(C35/C38,0)</f>
        <v>10.760681961692276</v>
      </c>
      <c r="D40" s="42">
        <f t="shared" si="16"/>
        <v>13.730793517154284</v>
      </c>
      <c r="E40" s="42">
        <f t="shared" si="16"/>
        <v>14.832035360976636</v>
      </c>
      <c r="F40" s="42">
        <f t="shared" si="16"/>
        <v>13.147126920648285</v>
      </c>
      <c r="G40" s="42">
        <f t="shared" si="16"/>
        <v>12.508103557145864</v>
      </c>
      <c r="H40" s="42">
        <f t="shared" si="16"/>
        <v>15.929699010734584</v>
      </c>
      <c r="I40" s="42">
        <f t="shared" si="16"/>
        <v>27.966112397390027</v>
      </c>
      <c r="J40" s="42">
        <f t="shared" si="16"/>
        <v>35.495053672910963</v>
      </c>
      <c r="K40" s="42">
        <f t="shared" si="16"/>
        <v>47.05451483898127</v>
      </c>
      <c r="L40" s="42">
        <f t="shared" si="16"/>
        <v>63.530414649547467</v>
      </c>
    </row>
    <row r="41" spans="1:12" outlineLevel="1" x14ac:dyDescent="0.2">
      <c r="B41" s="19" t="s">
        <v>110</v>
      </c>
      <c r="C41" s="20"/>
      <c r="D41" s="20">
        <f t="shared" ref="D41:L41" si="17">IFERROR(D40/C40-1,0)</f>
        <v>0.27601517878100301</v>
      </c>
      <c r="E41" s="20">
        <f t="shared" si="17"/>
        <v>8.020234536675086E-2</v>
      </c>
      <c r="F41" s="20">
        <f t="shared" si="17"/>
        <v>-0.11359927341876341</v>
      </c>
      <c r="G41" s="20">
        <f t="shared" si="17"/>
        <v>-4.8605552175722821E-2</v>
      </c>
      <c r="H41" s="20">
        <f t="shared" si="17"/>
        <v>0.27355029784942642</v>
      </c>
      <c r="I41" s="20">
        <f t="shared" si="17"/>
        <v>0.75559578235247482</v>
      </c>
      <c r="J41" s="20">
        <f t="shared" si="17"/>
        <v>0.26921658500605838</v>
      </c>
      <c r="K41" s="20">
        <f t="shared" si="17"/>
        <v>0.32566400018975683</v>
      </c>
      <c r="L41" s="20">
        <f t="shared" si="17"/>
        <v>0.35014493012936354</v>
      </c>
    </row>
    <row r="42" spans="1:12" outlineLevel="1" x14ac:dyDescent="0.2"/>
    <row r="43" spans="1:12" outlineLevel="1" x14ac:dyDescent="0.2">
      <c r="B43" t="s">
        <v>111</v>
      </c>
      <c r="C43" s="42">
        <f>IFERROR('Data Sheet'!B31/'Historical FS'!C38,0)</f>
        <v>2.5001052410018945</v>
      </c>
      <c r="D43" s="42">
        <f>IFERROR('Data Sheet'!C31/'Historical FS'!D38,0)</f>
        <v>3.2999368553988635</v>
      </c>
      <c r="E43" s="42">
        <f>IFERROR('Data Sheet'!D31/'Historical FS'!E38,0)</f>
        <v>3.499894758998106</v>
      </c>
      <c r="F43" s="42">
        <f>IFERROR('Data Sheet'!E31/'Historical FS'!F38,0)</f>
        <v>3.499894758998106</v>
      </c>
      <c r="G43" s="42">
        <f>IFERROR('Data Sheet'!F31/'Historical FS'!G38,0)</f>
        <v>3.499894758998106</v>
      </c>
      <c r="H43" s="42">
        <f>IFERROR('Data Sheet'!G31/'Historical FS'!H38,0)</f>
        <v>3.7499473794990528</v>
      </c>
      <c r="I43" s="42">
        <f>IFERROR('Data Sheet'!H31/'Historical FS'!I38,0)</f>
        <v>5.0000000000000009</v>
      </c>
      <c r="J43" s="42">
        <f>IFERROR('Data Sheet'!I31/'Historical FS'!J38,0)</f>
        <v>8</v>
      </c>
      <c r="K43" s="42">
        <f>IFERROR('Data Sheet'!J31/'Historical FS'!K38,0)</f>
        <v>10.000000000000002</v>
      </c>
      <c r="L43" s="42">
        <f>IFERROR('Data Sheet'!K31/'Historical FS'!L38,0)</f>
        <v>12</v>
      </c>
    </row>
    <row r="44" spans="1:12" outlineLevel="1" x14ac:dyDescent="0.2">
      <c r="B44" s="19" t="s">
        <v>112</v>
      </c>
      <c r="C44" s="20">
        <f t="shared" ref="C44:L44" si="18">IFERROR(C43/C40,0)</f>
        <v>0.23233706282763478</v>
      </c>
      <c r="D44" s="20">
        <f t="shared" si="18"/>
        <v>0.24033111060013795</v>
      </c>
      <c r="E44" s="20">
        <f t="shared" si="18"/>
        <v>0.23596860942001222</v>
      </c>
      <c r="F44" s="20">
        <f t="shared" si="18"/>
        <v>0.26620985559220006</v>
      </c>
      <c r="G44" s="20">
        <f t="shared" si="18"/>
        <v>0.27981018409450414</v>
      </c>
      <c r="H44" s="20">
        <f t="shared" si="18"/>
        <v>0.23540604106656798</v>
      </c>
      <c r="I44" s="20">
        <f t="shared" si="18"/>
        <v>0.17878781036675773</v>
      </c>
      <c r="J44" s="20">
        <f t="shared" si="18"/>
        <v>0.22538351607298518</v>
      </c>
      <c r="K44" s="20">
        <f t="shared" si="18"/>
        <v>0.21251945821181273</v>
      </c>
      <c r="L44" s="20">
        <f t="shared" si="18"/>
        <v>0.18888590710757272</v>
      </c>
    </row>
    <row r="45" spans="1:12" outlineLevel="1" x14ac:dyDescent="0.2"/>
    <row r="46" spans="1:12" outlineLevel="1" x14ac:dyDescent="0.2">
      <c r="B46" t="s">
        <v>113</v>
      </c>
      <c r="C46" s="25">
        <f t="shared" ref="C46:L46" si="19">IFERROR(1-C44,0)</f>
        <v>0.76766293717236522</v>
      </c>
      <c r="D46" s="25">
        <f t="shared" si="19"/>
        <v>0.75966888939986199</v>
      </c>
      <c r="E46" s="25">
        <f t="shared" si="19"/>
        <v>0.76403139057998781</v>
      </c>
      <c r="F46" s="25">
        <f t="shared" si="19"/>
        <v>0.73379014440779988</v>
      </c>
      <c r="G46" s="25">
        <f t="shared" si="19"/>
        <v>0.7201898159054958</v>
      </c>
      <c r="H46" s="25">
        <f t="shared" si="19"/>
        <v>0.76459395893343207</v>
      </c>
      <c r="I46" s="25">
        <f t="shared" si="19"/>
        <v>0.82121218963324227</v>
      </c>
      <c r="J46" s="25">
        <f t="shared" si="19"/>
        <v>0.77461648392701488</v>
      </c>
      <c r="K46" s="25">
        <f t="shared" si="19"/>
        <v>0.78748054178818727</v>
      </c>
      <c r="L46" s="25">
        <f t="shared" si="19"/>
        <v>0.81111409289242731</v>
      </c>
    </row>
    <row r="48" spans="1:12" x14ac:dyDescent="0.2">
      <c r="A48" t="s">
        <v>88</v>
      </c>
      <c r="B48" s="17" t="s">
        <v>114</v>
      </c>
      <c r="C48" s="17"/>
      <c r="D48" s="17"/>
      <c r="E48" s="17"/>
      <c r="F48" s="17"/>
      <c r="G48" s="17"/>
      <c r="H48" s="17"/>
      <c r="I48" s="17"/>
      <c r="J48" s="18"/>
      <c r="K48" s="18"/>
      <c r="L48" s="18"/>
    </row>
    <row r="49" spans="2:12" outlineLevel="1" x14ac:dyDescent="0.2">
      <c r="B49" s="2" t="s">
        <v>31</v>
      </c>
      <c r="C49" s="42">
        <f>IFERROR('Data Sheet'!B57,0)</f>
        <v>47.51</v>
      </c>
      <c r="D49" s="42">
        <f>IFERROR('Data Sheet'!C57,0)</f>
        <v>47.51</v>
      </c>
      <c r="E49" s="42">
        <f>IFERROR('Data Sheet'!D57,0)</f>
        <v>47.51</v>
      </c>
      <c r="F49" s="42">
        <f>IFERROR('Data Sheet'!E57,0)</f>
        <v>47.51</v>
      </c>
      <c r="G49" s="42">
        <f>IFERROR('Data Sheet'!F57,0)</f>
        <v>47.51</v>
      </c>
      <c r="H49" s="42">
        <f>IFERROR('Data Sheet'!G57,0)</f>
        <v>47.51</v>
      </c>
      <c r="I49" s="42">
        <f>IFERROR('Data Sheet'!H57,0)</f>
        <v>47.51</v>
      </c>
      <c r="J49" s="42">
        <f>IFERROR('Data Sheet'!I57,0)</f>
        <v>47.51</v>
      </c>
      <c r="K49" s="42">
        <f>IFERROR('Data Sheet'!J57,0)</f>
        <v>47.51</v>
      </c>
      <c r="L49" s="42">
        <f>IFERROR('Data Sheet'!K57,0)</f>
        <v>47.51</v>
      </c>
    </row>
    <row r="50" spans="2:12" outlineLevel="1" x14ac:dyDescent="0.2">
      <c r="B50" s="2" t="s">
        <v>32</v>
      </c>
      <c r="C50" s="42">
        <f>IFERROR('Data Sheet'!B58,0)</f>
        <v>2168.5300000000002</v>
      </c>
      <c r="D50" s="42">
        <f>IFERROR('Data Sheet'!C58,0)</f>
        <v>2629.69</v>
      </c>
      <c r="E50" s="42">
        <f>IFERROR('Data Sheet'!D58,0)</f>
        <v>3122.66</v>
      </c>
      <c r="F50" s="42">
        <f>IFERROR('Data Sheet'!E58,0)</f>
        <v>3234.59</v>
      </c>
      <c r="G50" s="42">
        <f>IFERROR('Data Sheet'!F58,0)</f>
        <v>3779.1</v>
      </c>
      <c r="H50" s="42">
        <f>IFERROR('Data Sheet'!G58,0)</f>
        <v>4351.9399999999996</v>
      </c>
      <c r="I50" s="42">
        <f>IFERROR('Data Sheet'!H58,0)</f>
        <v>5457.49</v>
      </c>
      <c r="J50" s="42">
        <f>IFERROR('Data Sheet'!I58,0)</f>
        <v>6736</v>
      </c>
      <c r="K50" s="42">
        <f>IFERROR('Data Sheet'!J58,0)</f>
        <v>8455.8700000000008</v>
      </c>
      <c r="L50" s="42">
        <f>IFERROR('Data Sheet'!K58,0)</f>
        <v>9516.74</v>
      </c>
    </row>
    <row r="51" spans="2:12" outlineLevel="1" x14ac:dyDescent="0.2">
      <c r="B51" s="2" t="s">
        <v>33</v>
      </c>
      <c r="C51" s="42">
        <f>IFERROR('Data Sheet'!B59,0)</f>
        <v>1310.8</v>
      </c>
      <c r="D51" s="42">
        <f>IFERROR('Data Sheet'!C59,0)</f>
        <v>6927.54</v>
      </c>
      <c r="E51" s="42">
        <f>IFERROR('Data Sheet'!D59,0)</f>
        <v>9298.0499999999993</v>
      </c>
      <c r="F51" s="42">
        <f>IFERROR('Data Sheet'!E59,0)</f>
        <v>11591.45</v>
      </c>
      <c r="G51" s="42">
        <f>IFERROR('Data Sheet'!F59,0)</f>
        <v>12179.16</v>
      </c>
      <c r="H51" s="42">
        <f>IFERROR('Data Sheet'!G59,0)</f>
        <v>15827.21</v>
      </c>
      <c r="I51" s="42">
        <f>IFERROR('Data Sheet'!H59,0)</f>
        <v>22375.58</v>
      </c>
      <c r="J51" s="42">
        <f>IFERROR('Data Sheet'!I59,0)</f>
        <v>26005.7</v>
      </c>
      <c r="K51" s="42">
        <f>IFERROR('Data Sheet'!J59,0)</f>
        <v>28608.71</v>
      </c>
      <c r="L51" s="42">
        <f>IFERROR('Data Sheet'!K59,0)</f>
        <v>32791.01</v>
      </c>
    </row>
    <row r="52" spans="2:12" outlineLevel="1" x14ac:dyDescent="0.2">
      <c r="B52" s="26" t="s">
        <v>34</v>
      </c>
      <c r="C52" s="50">
        <f>IFERROR('Data Sheet'!B60,0)</f>
        <v>2601.12</v>
      </c>
      <c r="D52" s="50">
        <f>IFERROR('Data Sheet'!C60,0)</f>
        <v>3585.56</v>
      </c>
      <c r="E52" s="50">
        <f>IFERROR('Data Sheet'!D60,0)</f>
        <v>4228.2700000000004</v>
      </c>
      <c r="F52" s="50">
        <f>IFERROR('Data Sheet'!E60,0)</f>
        <v>4398.62</v>
      </c>
      <c r="G52" s="50">
        <f>IFERROR('Data Sheet'!F60,0)</f>
        <v>5859.3</v>
      </c>
      <c r="H52" s="50">
        <f>IFERROR('Data Sheet'!G60,0)</f>
        <v>6692.44</v>
      </c>
      <c r="I52" s="50">
        <f>IFERROR('Data Sheet'!H60,0)</f>
        <v>7143.96</v>
      </c>
      <c r="J52" s="50">
        <f>IFERROR('Data Sheet'!I60,0)</f>
        <v>9234.7900000000009</v>
      </c>
      <c r="K52" s="50">
        <f>IFERROR('Data Sheet'!J60,0)</f>
        <v>10538.8</v>
      </c>
      <c r="L52" s="50">
        <f>IFERROR('Data Sheet'!K60,0)</f>
        <v>13790.36</v>
      </c>
    </row>
    <row r="53" spans="2:12" outlineLevel="1" x14ac:dyDescent="0.2">
      <c r="B53" s="3" t="s">
        <v>115</v>
      </c>
      <c r="C53" s="42">
        <f>IFERROR('Data Sheet'!B61,0)</f>
        <v>6127.96</v>
      </c>
      <c r="D53" s="42">
        <f>IFERROR('Data Sheet'!C61,0)</f>
        <v>13190.3</v>
      </c>
      <c r="E53" s="42">
        <f>IFERROR('Data Sheet'!D61,0)</f>
        <v>16696.490000000002</v>
      </c>
      <c r="F53" s="42">
        <f>IFERROR('Data Sheet'!E61,0)</f>
        <v>19272.169999999998</v>
      </c>
      <c r="G53" s="42">
        <f>IFERROR('Data Sheet'!F61,0)</f>
        <v>21865.07</v>
      </c>
      <c r="H53" s="42">
        <f>IFERROR('Data Sheet'!G61,0)</f>
        <v>26919.1</v>
      </c>
      <c r="I53" s="42">
        <f>IFERROR('Data Sheet'!H61,0)</f>
        <v>35024.54</v>
      </c>
      <c r="J53" s="42">
        <f>IFERROR('Data Sheet'!I61,0)</f>
        <v>42024</v>
      </c>
      <c r="K53" s="42">
        <f>IFERROR('Data Sheet'!J61,0)</f>
        <v>47650.89</v>
      </c>
      <c r="L53" s="42">
        <f>IFERROR('Data Sheet'!K61,0)</f>
        <v>56145.62</v>
      </c>
    </row>
    <row r="54" spans="2:12" outlineLevel="1" x14ac:dyDescent="0.2">
      <c r="B54" s="3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2:12" outlineLevel="1" x14ac:dyDescent="0.2">
      <c r="B55" s="2" t="s">
        <v>36</v>
      </c>
      <c r="C55" s="42">
        <f>IFERROR('Data Sheet'!B62,0)</f>
        <v>2362.06</v>
      </c>
      <c r="D55" s="42">
        <f>IFERROR('Data Sheet'!C62,0)</f>
        <v>3093.85</v>
      </c>
      <c r="E55" s="42">
        <f>IFERROR('Data Sheet'!D62,0)</f>
        <v>3366.8</v>
      </c>
      <c r="F55" s="42">
        <f>IFERROR('Data Sheet'!E62,0)</f>
        <v>3810.69</v>
      </c>
      <c r="G55" s="42">
        <f>IFERROR('Data Sheet'!F62,0)</f>
        <v>4221.05</v>
      </c>
      <c r="H55" s="42">
        <f>IFERROR('Data Sheet'!G62,0)</f>
        <v>5974.64</v>
      </c>
      <c r="I55" s="42">
        <f>IFERROR('Data Sheet'!H62,0)</f>
        <v>5748.03</v>
      </c>
      <c r="J55" s="42">
        <f>IFERROR('Data Sheet'!I62,0)</f>
        <v>5890.82</v>
      </c>
      <c r="K55" s="42">
        <f>IFERROR('Data Sheet'!J62,0)</f>
        <v>7644.45</v>
      </c>
      <c r="L55" s="42">
        <f>IFERROR('Data Sheet'!K62,0)</f>
        <v>8633.9500000000007</v>
      </c>
    </row>
    <row r="56" spans="2:12" outlineLevel="1" x14ac:dyDescent="0.2">
      <c r="B56" s="2" t="s">
        <v>37</v>
      </c>
      <c r="C56" s="42">
        <f>IFERROR('Data Sheet'!B63,0)</f>
        <v>63.81</v>
      </c>
      <c r="D56" s="42">
        <f>IFERROR('Data Sheet'!C63,0)</f>
        <v>313.26</v>
      </c>
      <c r="E56" s="42">
        <f>IFERROR('Data Sheet'!D63,0)</f>
        <v>744.51</v>
      </c>
      <c r="F56" s="42">
        <f>IFERROR('Data Sheet'!E63,0)</f>
        <v>1006.01</v>
      </c>
      <c r="G56" s="42">
        <f>IFERROR('Data Sheet'!F63,0)</f>
        <v>1040.77</v>
      </c>
      <c r="H56" s="42">
        <f>IFERROR('Data Sheet'!G63,0)</f>
        <v>551.53</v>
      </c>
      <c r="I56" s="42">
        <f>IFERROR('Data Sheet'!H63,0)</f>
        <v>743.45</v>
      </c>
      <c r="J56" s="42">
        <f>IFERROR('Data Sheet'!I63,0)</f>
        <v>1032.95</v>
      </c>
      <c r="K56" s="42">
        <f>IFERROR('Data Sheet'!J63,0)</f>
        <v>1465.45</v>
      </c>
      <c r="L56" s="42">
        <f>IFERROR('Data Sheet'!K63,0)</f>
        <v>2072.2199999999998</v>
      </c>
    </row>
    <row r="57" spans="2:12" outlineLevel="1" x14ac:dyDescent="0.2">
      <c r="B57" s="2" t="s">
        <v>38</v>
      </c>
      <c r="C57" s="42">
        <f>IFERROR('Data Sheet'!B64,0)</f>
        <v>1155.19</v>
      </c>
      <c r="D57" s="42">
        <f>IFERROR('Data Sheet'!C64,0)</f>
        <v>421.02</v>
      </c>
      <c r="E57" s="42">
        <f>IFERROR('Data Sheet'!D64,0)</f>
        <v>439.73</v>
      </c>
      <c r="F57" s="42">
        <f>IFERROR('Data Sheet'!E64,0)</f>
        <v>370.91</v>
      </c>
      <c r="G57" s="42">
        <f>IFERROR('Data Sheet'!F64,0)</f>
        <v>468.01</v>
      </c>
      <c r="H57" s="42">
        <f>IFERROR('Data Sheet'!G64,0)</f>
        <v>604.55999999999995</v>
      </c>
      <c r="I57" s="42">
        <f>IFERROR('Data Sheet'!H64,0)</f>
        <v>967.25</v>
      </c>
      <c r="J57" s="42">
        <f>IFERROR('Data Sheet'!I64,0)</f>
        <v>1123.19</v>
      </c>
      <c r="K57" s="42">
        <f>IFERROR('Data Sheet'!J64,0)</f>
        <v>1247.3800000000001</v>
      </c>
      <c r="L57" s="42">
        <f>IFERROR('Data Sheet'!K64,0)</f>
        <v>1146.6400000000001</v>
      </c>
    </row>
    <row r="58" spans="2:12" outlineLevel="1" x14ac:dyDescent="0.2">
      <c r="B58" s="2" t="s">
        <v>39</v>
      </c>
      <c r="C58" s="42">
        <f>IFERROR('Data Sheet'!B65-SUM('Data Sheet'!B67:B69),0)</f>
        <v>631.97000000000025</v>
      </c>
      <c r="D58" s="42">
        <f>IFERROR('Data Sheet'!C65-SUM('Data Sheet'!C67:C69),0)</f>
        <v>7062.21</v>
      </c>
      <c r="E58" s="42">
        <f>IFERROR('Data Sheet'!D65-SUM('Data Sheet'!D67:D69),0)</f>
        <v>9101.5</v>
      </c>
      <c r="F58" s="42">
        <f>IFERROR('Data Sheet'!E65-SUM('Data Sheet'!E67:E69),0)</f>
        <v>10334.16</v>
      </c>
      <c r="G58" s="42">
        <f>IFERROR('Data Sheet'!F65-SUM('Data Sheet'!F67:F69),0)</f>
        <v>12081.7</v>
      </c>
      <c r="H58" s="42">
        <f>IFERROR('Data Sheet'!G65-SUM('Data Sheet'!G67:G69),0)</f>
        <v>15433.099999999999</v>
      </c>
      <c r="I58" s="42">
        <f>IFERROR('Data Sheet'!H65-SUM('Data Sheet'!H67:H69),0)</f>
        <v>22508.77</v>
      </c>
      <c r="J58" s="42">
        <f>IFERROR('Data Sheet'!I65-SUM('Data Sheet'!I67:I69),0)</f>
        <v>27463.49</v>
      </c>
      <c r="K58" s="42">
        <f>IFERROR('Data Sheet'!J65-SUM('Data Sheet'!J67:J69),0)</f>
        <v>28774.04</v>
      </c>
      <c r="L58" s="42">
        <f>IFERROR('Data Sheet'!K65-SUM('Data Sheet'!K67:K69),0)</f>
        <v>34678.36</v>
      </c>
    </row>
    <row r="59" spans="2:12" outlineLevel="1" x14ac:dyDescent="0.2">
      <c r="B59" s="3" t="s">
        <v>116</v>
      </c>
      <c r="C59" s="42">
        <f t="shared" ref="C59:L59" si="20">IFERROR(SUM(C55:C58),0)</f>
        <v>4213.0300000000007</v>
      </c>
      <c r="D59" s="42">
        <f t="shared" si="20"/>
        <v>10890.34</v>
      </c>
      <c r="E59" s="42">
        <f t="shared" si="20"/>
        <v>13652.54</v>
      </c>
      <c r="F59" s="42">
        <f t="shared" si="20"/>
        <v>15521.77</v>
      </c>
      <c r="G59" s="42">
        <f t="shared" si="20"/>
        <v>17811.53</v>
      </c>
      <c r="H59" s="42">
        <f t="shared" si="20"/>
        <v>22563.829999999998</v>
      </c>
      <c r="I59" s="42">
        <f t="shared" si="20"/>
        <v>29967.5</v>
      </c>
      <c r="J59" s="42">
        <f t="shared" si="20"/>
        <v>35510.449999999997</v>
      </c>
      <c r="K59" s="42">
        <f t="shared" si="20"/>
        <v>39131.32</v>
      </c>
      <c r="L59" s="42">
        <f t="shared" si="20"/>
        <v>46531.17</v>
      </c>
    </row>
    <row r="60" spans="2:12" outlineLevel="1" x14ac:dyDescent="0.2">
      <c r="B60" s="3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2:12" outlineLevel="1" x14ac:dyDescent="0.2">
      <c r="B61" s="2" t="s">
        <v>40</v>
      </c>
      <c r="C61" s="42">
        <f t="array" ref="C61:C63">IFERROR('Data Sheet'!B67:B69,0)</f>
        <v>701.81</v>
      </c>
      <c r="D61" s="42">
        <f t="array" ref="D61:D63">IFERROR('Data Sheet'!C67:C69,0)</f>
        <v>1070.8800000000001</v>
      </c>
      <c r="E61" s="42">
        <f t="array" ref="E61:E63">IFERROR('Data Sheet'!D67:D69,0)</f>
        <v>1546.07</v>
      </c>
      <c r="F61" s="42">
        <f t="array" ref="F61:F63">IFERROR('Data Sheet'!E67:E69,0)</f>
        <v>1454.36</v>
      </c>
      <c r="G61" s="42">
        <f t="array" ref="G61:G63">IFERROR('Data Sheet'!F67:F69,0)</f>
        <v>1029.26</v>
      </c>
      <c r="H61" s="42">
        <f t="array" ref="H61:H63">IFERROR('Data Sheet'!G67:G69,0)</f>
        <v>1177.3</v>
      </c>
      <c r="I61" s="42">
        <f t="array" ref="I61:I63">IFERROR('Data Sheet'!H67:H69,0)</f>
        <v>1256.42</v>
      </c>
      <c r="J61" s="42">
        <f t="array" ref="J61:J63">IFERROR('Data Sheet'!I67:I69,0)</f>
        <v>1839.42</v>
      </c>
      <c r="K61" s="42">
        <f t="array" ref="K61:K63">IFERROR('Data Sheet'!J67:J69,0)</f>
        <v>1716.75</v>
      </c>
      <c r="L61" s="42">
        <f t="array" ref="L61:L63">IFERROR('Data Sheet'!K67:K69,0)</f>
        <v>2654.13</v>
      </c>
    </row>
    <row r="62" spans="2:12" outlineLevel="1" x14ac:dyDescent="0.2">
      <c r="B62" s="2" t="s">
        <v>41</v>
      </c>
      <c r="C62" s="42">
        <v>1161.8599999999999</v>
      </c>
      <c r="D62" s="42">
        <v>1056.1500000000001</v>
      </c>
      <c r="E62" s="42">
        <v>1291.57</v>
      </c>
      <c r="F62" s="42">
        <v>1188.47</v>
      </c>
      <c r="G62" s="42">
        <v>1367.43</v>
      </c>
      <c r="H62" s="42">
        <v>1642.36</v>
      </c>
      <c r="I62" s="42">
        <v>1921.51</v>
      </c>
      <c r="J62" s="42">
        <v>2248.4</v>
      </c>
      <c r="K62" s="42">
        <v>2416.58</v>
      </c>
      <c r="L62" s="42">
        <v>2459.1999999999998</v>
      </c>
    </row>
    <row r="63" spans="2:12" outlineLevel="1" x14ac:dyDescent="0.2">
      <c r="B63" s="2" t="s">
        <v>42</v>
      </c>
      <c r="C63" s="42">
        <v>51.26</v>
      </c>
      <c r="D63" s="42">
        <v>172.93</v>
      </c>
      <c r="E63" s="42">
        <v>206.31</v>
      </c>
      <c r="F63" s="42">
        <v>1107.57</v>
      </c>
      <c r="G63" s="42">
        <v>1656.85</v>
      </c>
      <c r="H63" s="42">
        <v>1535.61</v>
      </c>
      <c r="I63" s="42">
        <v>1879.11</v>
      </c>
      <c r="J63" s="42">
        <v>2425.73</v>
      </c>
      <c r="K63" s="42">
        <v>4386.24</v>
      </c>
      <c r="L63" s="42">
        <v>4501.12</v>
      </c>
    </row>
    <row r="64" spans="2:12" outlineLevel="1" x14ac:dyDescent="0.2">
      <c r="B64" s="3" t="s">
        <v>117</v>
      </c>
      <c r="C64" s="42">
        <f t="shared" ref="C64:L64" si="21">IFERROR(SUM(C61:C63),0)</f>
        <v>1914.9299999999998</v>
      </c>
      <c r="D64" s="42">
        <f t="shared" si="21"/>
        <v>2299.96</v>
      </c>
      <c r="E64" s="42">
        <f t="shared" si="21"/>
        <v>3043.95</v>
      </c>
      <c r="F64" s="42">
        <f t="shared" si="21"/>
        <v>3750.3999999999996</v>
      </c>
      <c r="G64" s="42">
        <f t="shared" si="21"/>
        <v>4053.54</v>
      </c>
      <c r="H64" s="42">
        <f t="shared" si="21"/>
        <v>4355.2699999999995</v>
      </c>
      <c r="I64" s="42">
        <f t="shared" si="21"/>
        <v>5057.04</v>
      </c>
      <c r="J64" s="42">
        <f t="shared" si="21"/>
        <v>6513.55</v>
      </c>
      <c r="K64" s="42">
        <f t="shared" si="21"/>
        <v>8519.57</v>
      </c>
      <c r="L64" s="42">
        <f t="shared" si="21"/>
        <v>9614.4500000000007</v>
      </c>
    </row>
    <row r="65" spans="1:12" outlineLevel="1" x14ac:dyDescent="0.2">
      <c r="B65" s="21"/>
      <c r="C65" s="50"/>
      <c r="D65" s="50"/>
      <c r="E65" s="50"/>
      <c r="F65" s="50"/>
      <c r="G65" s="50"/>
      <c r="H65" s="50"/>
      <c r="I65" s="50"/>
      <c r="J65" s="50"/>
      <c r="K65" s="50"/>
      <c r="L65" s="50"/>
    </row>
    <row r="66" spans="1:12" outlineLevel="1" x14ac:dyDescent="0.2">
      <c r="B66" s="3" t="s">
        <v>118</v>
      </c>
      <c r="C66" s="42">
        <f t="shared" ref="C66:L66" si="22">IFERROR( C64+C59,0)</f>
        <v>6127.9600000000009</v>
      </c>
      <c r="D66" s="42">
        <f t="shared" si="22"/>
        <v>13190.3</v>
      </c>
      <c r="E66" s="42">
        <f t="shared" si="22"/>
        <v>16696.490000000002</v>
      </c>
      <c r="F66" s="42">
        <f t="shared" si="22"/>
        <v>19272.169999999998</v>
      </c>
      <c r="G66" s="42">
        <f t="shared" si="22"/>
        <v>21865.07</v>
      </c>
      <c r="H66" s="42">
        <f t="shared" si="22"/>
        <v>26919.1</v>
      </c>
      <c r="I66" s="42">
        <f t="shared" si="22"/>
        <v>35024.54</v>
      </c>
      <c r="J66" s="42">
        <f t="shared" si="22"/>
        <v>42024</v>
      </c>
      <c r="K66" s="42">
        <f t="shared" si="22"/>
        <v>47650.89</v>
      </c>
      <c r="L66" s="42">
        <f t="shared" si="22"/>
        <v>56145.619999999995</v>
      </c>
    </row>
    <row r="67" spans="1:12" outlineLevel="1" x14ac:dyDescent="0.2"/>
    <row r="68" spans="1:12" outlineLevel="1" x14ac:dyDescent="0.2">
      <c r="B68" s="2" t="s">
        <v>119</v>
      </c>
      <c r="C68" t="b">
        <f t="shared" ref="C68:L68" si="23">C66=C53</f>
        <v>1</v>
      </c>
      <c r="D68" t="b">
        <f t="shared" si="23"/>
        <v>1</v>
      </c>
      <c r="E68" t="b">
        <f t="shared" si="23"/>
        <v>1</v>
      </c>
      <c r="F68" t="b">
        <f t="shared" si="23"/>
        <v>1</v>
      </c>
      <c r="G68" t="b">
        <f t="shared" si="23"/>
        <v>1</v>
      </c>
      <c r="H68" t="b">
        <f t="shared" si="23"/>
        <v>1</v>
      </c>
      <c r="I68" t="b">
        <f t="shared" si="23"/>
        <v>1</v>
      </c>
      <c r="J68" t="b">
        <f t="shared" si="23"/>
        <v>1</v>
      </c>
      <c r="K68" t="b">
        <f t="shared" si="23"/>
        <v>1</v>
      </c>
      <c r="L68" t="b">
        <f t="shared" si="23"/>
        <v>1</v>
      </c>
    </row>
    <row r="70" spans="1:12" x14ac:dyDescent="0.2">
      <c r="A70" t="s">
        <v>88</v>
      </c>
      <c r="B70" s="43" t="s">
        <v>120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spans="1:12" outlineLevel="1" x14ac:dyDescent="0.2">
      <c r="B71" s="27" t="s">
        <v>121</v>
      </c>
      <c r="C71" s="27"/>
      <c r="D71" s="27"/>
      <c r="E71" s="27"/>
      <c r="F71" s="27"/>
      <c r="G71" s="27"/>
      <c r="H71" s="27"/>
      <c r="I71" s="27"/>
    </row>
    <row r="72" spans="1:12" outlineLevel="1" x14ac:dyDescent="0.2">
      <c r="B72" t="s">
        <v>57</v>
      </c>
      <c r="C72" s="42">
        <f>IFERROR('Cash Flow Sheet'!C5,0)</f>
        <v>924</v>
      </c>
      <c r="D72" s="42">
        <f>IFERROR('Cash Flow Sheet'!D5,0)</f>
        <v>1332</v>
      </c>
      <c r="E72" s="42">
        <f>IFERROR('Cash Flow Sheet'!E5,0)</f>
        <v>1666</v>
      </c>
      <c r="F72" s="42">
        <f>IFERROR('Cash Flow Sheet'!F5,0)</f>
        <v>1497</v>
      </c>
      <c r="G72" s="42">
        <f>IFERROR('Cash Flow Sheet'!G5,0)</f>
        <v>1559</v>
      </c>
      <c r="H72" s="42">
        <f>IFERROR('Cash Flow Sheet'!H5,0)</f>
        <v>1919</v>
      </c>
      <c r="I72" s="42">
        <f>IFERROR('Cash Flow Sheet'!I5,0)</f>
        <v>2931</v>
      </c>
      <c r="J72" s="42">
        <f>IFERROR('Cash Flow Sheet'!J5,0)</f>
        <v>3974</v>
      </c>
      <c r="K72" s="42">
        <f>IFERROR('Cash Flow Sheet'!K5,0)</f>
        <v>4966</v>
      </c>
      <c r="L72" s="42">
        <f>IFERROR('Cash Flow Sheet'!L5,0)</f>
        <v>6507</v>
      </c>
    </row>
    <row r="73" spans="1:12" outlineLevel="1" x14ac:dyDescent="0.2">
      <c r="B73" t="s">
        <v>40</v>
      </c>
      <c r="C73" s="42">
        <f>IFERROR('Cash Flow Sheet'!C6,0)</f>
        <v>-214</v>
      </c>
      <c r="D73" s="42">
        <f>IFERROR('Cash Flow Sheet'!D6,0)</f>
        <v>-348</v>
      </c>
      <c r="E73" s="42">
        <f>IFERROR('Cash Flow Sheet'!E6,0)</f>
        <v>-483</v>
      </c>
      <c r="F73" s="42">
        <f>IFERROR('Cash Flow Sheet'!F6,0)</f>
        <v>130</v>
      </c>
      <c r="G73" s="42">
        <f>IFERROR('Cash Flow Sheet'!G6,0)</f>
        <v>399</v>
      </c>
      <c r="H73" s="42">
        <f>IFERROR('Cash Flow Sheet'!H6,0)</f>
        <v>-143</v>
      </c>
      <c r="I73" s="42">
        <f>IFERROR('Cash Flow Sheet'!I6,0)</f>
        <v>-95</v>
      </c>
      <c r="J73" s="42">
        <f>IFERROR('Cash Flow Sheet'!J6,0)</f>
        <v>-590</v>
      </c>
      <c r="K73" s="42">
        <f>IFERROR('Cash Flow Sheet'!K6,0)</f>
        <v>110</v>
      </c>
      <c r="L73" s="42">
        <f>IFERROR('Cash Flow Sheet'!L6,0)</f>
        <v>-875</v>
      </c>
    </row>
    <row r="74" spans="1:12" outlineLevel="1" x14ac:dyDescent="0.2">
      <c r="B74" t="s">
        <v>41</v>
      </c>
      <c r="C74" s="42">
        <f>IFERROR('Cash Flow Sheet'!C7,0)</f>
        <v>-279</v>
      </c>
      <c r="D74" s="42">
        <f>IFERROR('Cash Flow Sheet'!D7,0)</f>
        <v>106</v>
      </c>
      <c r="E74" s="42">
        <f>IFERROR('Cash Flow Sheet'!E7,0)</f>
        <v>-235</v>
      </c>
      <c r="F74" s="42">
        <f>IFERROR('Cash Flow Sheet'!F7,0)</f>
        <v>103</v>
      </c>
      <c r="G74" s="42">
        <f>IFERROR('Cash Flow Sheet'!G7,0)</f>
        <v>-179</v>
      </c>
      <c r="H74" s="42">
        <f>IFERROR('Cash Flow Sheet'!H7,0)</f>
        <v>-275</v>
      </c>
      <c r="I74" s="42">
        <f>IFERROR('Cash Flow Sheet'!I7,0)</f>
        <v>-314</v>
      </c>
      <c r="J74" s="42">
        <f>IFERROR('Cash Flow Sheet'!J7,0)</f>
        <v>-327</v>
      </c>
      <c r="K74" s="42">
        <f>IFERROR('Cash Flow Sheet'!K7,0)</f>
        <v>-168</v>
      </c>
      <c r="L74" s="42">
        <f>IFERROR('Cash Flow Sheet'!L7,0)</f>
        <v>-43</v>
      </c>
    </row>
    <row r="75" spans="1:12" outlineLevel="1" x14ac:dyDescent="0.2">
      <c r="B75" t="s">
        <v>58</v>
      </c>
      <c r="C75" s="42">
        <f>IFERROR('Cash Flow Sheet'!C8,0)</f>
        <v>328</v>
      </c>
      <c r="D75" s="42">
        <f>IFERROR('Cash Flow Sheet'!D8,0)</f>
        <v>578</v>
      </c>
      <c r="E75" s="42">
        <f>IFERROR('Cash Flow Sheet'!E8,0)</f>
        <v>509</v>
      </c>
      <c r="F75" s="42">
        <f>IFERROR('Cash Flow Sheet'!F8,0)</f>
        <v>22</v>
      </c>
      <c r="G75" s="42">
        <f>IFERROR('Cash Flow Sheet'!G8,0)</f>
        <v>1114</v>
      </c>
      <c r="H75" s="42">
        <f>IFERROR('Cash Flow Sheet'!H8,0)</f>
        <v>366</v>
      </c>
      <c r="I75" s="42">
        <f>IFERROR('Cash Flow Sheet'!I8,0)</f>
        <v>517</v>
      </c>
      <c r="J75" s="42">
        <f>IFERROR('Cash Flow Sheet'!J8,0)</f>
        <v>1538</v>
      </c>
      <c r="K75" s="42">
        <f>IFERROR('Cash Flow Sheet'!K8,0)</f>
        <v>924</v>
      </c>
      <c r="L75" s="42">
        <f>IFERROR('Cash Flow Sheet'!L8,0)</f>
        <v>2274</v>
      </c>
    </row>
    <row r="76" spans="1:12" outlineLevel="1" x14ac:dyDescent="0.2">
      <c r="B76" t="s">
        <v>59</v>
      </c>
      <c r="C76" s="42">
        <f>IFERROR('Cash Flow Sheet'!C9,0)</f>
        <v>0</v>
      </c>
      <c r="D76" s="42">
        <f>IFERROR('Cash Flow Sheet'!D9,0)</f>
        <v>-839</v>
      </c>
      <c r="E76" s="42">
        <f>IFERROR('Cash Flow Sheet'!E9,0)</f>
        <v>-2127</v>
      </c>
      <c r="F76" s="42">
        <f>IFERROR('Cash Flow Sheet'!F9,0)</f>
        <v>-1178</v>
      </c>
      <c r="G76" s="42">
        <f>IFERROR('Cash Flow Sheet'!G9,0)</f>
        <v>-1701</v>
      </c>
      <c r="H76" s="42">
        <f>IFERROR('Cash Flow Sheet'!H9,0)</f>
        <v>-2860</v>
      </c>
      <c r="I76" s="42">
        <f>IFERROR('Cash Flow Sheet'!I9,0)</f>
        <v>-6531</v>
      </c>
      <c r="J76" s="42">
        <f>IFERROR('Cash Flow Sheet'!J9,0)</f>
        <v>-4925</v>
      </c>
      <c r="K76" s="42">
        <f>IFERROR('Cash Flow Sheet'!K9,0)</f>
        <v>-829</v>
      </c>
      <c r="L76" s="42">
        <f>IFERROR('Cash Flow Sheet'!L9,0)</f>
        <v>-3987</v>
      </c>
    </row>
    <row r="77" spans="1:12" outlineLevel="1" x14ac:dyDescent="0.2">
      <c r="B77" t="s">
        <v>60</v>
      </c>
      <c r="C77" s="42">
        <f>IFERROR('Cash Flow Sheet'!C10,0)</f>
        <v>67</v>
      </c>
      <c r="D77" s="42">
        <f>IFERROR('Cash Flow Sheet'!D10,0)</f>
        <v>-148</v>
      </c>
      <c r="E77" s="42">
        <f>IFERROR('Cash Flow Sheet'!E10,0)</f>
        <v>69</v>
      </c>
      <c r="F77" s="42">
        <f>IFERROR('Cash Flow Sheet'!F10,0)</f>
        <v>40</v>
      </c>
      <c r="G77" s="42">
        <f>IFERROR('Cash Flow Sheet'!G10,0)</f>
        <v>210</v>
      </c>
      <c r="H77" s="42">
        <f>IFERROR('Cash Flow Sheet'!H10,0)</f>
        <v>-217</v>
      </c>
      <c r="I77" s="42">
        <f>IFERROR('Cash Flow Sheet'!I10,0)</f>
        <v>-305</v>
      </c>
      <c r="J77" s="42">
        <f>IFERROR('Cash Flow Sheet'!J10,0)</f>
        <v>37</v>
      </c>
      <c r="K77" s="42">
        <f>IFERROR('Cash Flow Sheet'!K10,0)</f>
        <v>-354</v>
      </c>
      <c r="L77" s="42">
        <f>IFERROR('Cash Flow Sheet'!L10,0)</f>
        <v>-384</v>
      </c>
    </row>
    <row r="78" spans="1:12" outlineLevel="1" x14ac:dyDescent="0.2">
      <c r="B78" t="s">
        <v>61</v>
      </c>
      <c r="C78" s="42">
        <f>IFERROR('Cash Flow Sheet'!C11,0)</f>
        <v>-98</v>
      </c>
      <c r="D78" s="42">
        <f>IFERROR('Cash Flow Sheet'!D11,0)</f>
        <v>-652</v>
      </c>
      <c r="E78" s="42">
        <f>IFERROR('Cash Flow Sheet'!E11,0)</f>
        <v>-2267</v>
      </c>
      <c r="F78" s="42">
        <f>IFERROR('Cash Flow Sheet'!F11,0)</f>
        <v>-881</v>
      </c>
      <c r="G78" s="42">
        <f>IFERROR('Cash Flow Sheet'!G11,0)</f>
        <v>-157</v>
      </c>
      <c r="H78" s="42">
        <f>IFERROR('Cash Flow Sheet'!H11,0)</f>
        <v>-3128</v>
      </c>
      <c r="I78" s="42">
        <f>IFERROR('Cash Flow Sheet'!I11,0)</f>
        <v>-6727</v>
      </c>
      <c r="J78" s="42">
        <f>IFERROR('Cash Flow Sheet'!J11,0)</f>
        <v>-4268</v>
      </c>
      <c r="K78" s="42">
        <f>IFERROR('Cash Flow Sheet'!K11,0)</f>
        <v>-316</v>
      </c>
      <c r="L78" s="42">
        <f>IFERROR('Cash Flow Sheet'!L11,0)</f>
        <v>-3015</v>
      </c>
    </row>
    <row r="79" spans="1:12" outlineLevel="1" x14ac:dyDescent="0.2">
      <c r="B79" s="21" t="s">
        <v>62</v>
      </c>
      <c r="C79" s="50">
        <f>IFERROR('Cash Flow Sheet'!C12,0)</f>
        <v>-137</v>
      </c>
      <c r="D79" s="50">
        <f>IFERROR('Cash Flow Sheet'!D12,0)</f>
        <v>-326</v>
      </c>
      <c r="E79" s="50">
        <f>IFERROR('Cash Flow Sheet'!E12,0)</f>
        <v>-317</v>
      </c>
      <c r="F79" s="50">
        <f>IFERROR('Cash Flow Sheet'!F12,0)</f>
        <v>-242</v>
      </c>
      <c r="G79" s="50">
        <f>IFERROR('Cash Flow Sheet'!G12,0)</f>
        <v>-251</v>
      </c>
      <c r="H79" s="50">
        <f>IFERROR('Cash Flow Sheet'!H12,0)</f>
        <v>-366</v>
      </c>
      <c r="I79" s="50">
        <f>IFERROR('Cash Flow Sheet'!I12,0)</f>
        <v>-608</v>
      </c>
      <c r="J79" s="50">
        <f>IFERROR('Cash Flow Sheet'!J12,0)</f>
        <v>-959</v>
      </c>
      <c r="K79" s="50">
        <f>IFERROR('Cash Flow Sheet'!K12,0)</f>
        <v>-1147</v>
      </c>
      <c r="L79" s="50">
        <f>IFERROR('Cash Flow Sheet'!L12,0)</f>
        <v>-1626</v>
      </c>
    </row>
    <row r="80" spans="1:12" outlineLevel="1" x14ac:dyDescent="0.2">
      <c r="B80" s="24" t="s">
        <v>56</v>
      </c>
      <c r="C80" s="42">
        <f t="shared" ref="C80:L80" si="24">IFERROR(SUM(C72:C77,C79),0)</f>
        <v>689</v>
      </c>
      <c r="D80" s="42">
        <f t="shared" si="24"/>
        <v>355</v>
      </c>
      <c r="E80" s="42">
        <f t="shared" si="24"/>
        <v>-918</v>
      </c>
      <c r="F80" s="42">
        <f t="shared" si="24"/>
        <v>372</v>
      </c>
      <c r="G80" s="42">
        <f t="shared" si="24"/>
        <v>1151</v>
      </c>
      <c r="H80" s="42">
        <f t="shared" si="24"/>
        <v>-1576</v>
      </c>
      <c r="I80" s="42">
        <f t="shared" si="24"/>
        <v>-4405</v>
      </c>
      <c r="J80" s="42">
        <f t="shared" si="24"/>
        <v>-1252</v>
      </c>
      <c r="K80" s="42">
        <f t="shared" si="24"/>
        <v>3502</v>
      </c>
      <c r="L80" s="42">
        <f t="shared" si="24"/>
        <v>1866</v>
      </c>
    </row>
    <row r="81" spans="2:12" outlineLevel="1" x14ac:dyDescent="0.2"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2:12" outlineLevel="1" x14ac:dyDescent="0.2">
      <c r="B82" s="24" t="s">
        <v>122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2:12" outlineLevel="1" x14ac:dyDescent="0.2">
      <c r="B83" t="s">
        <v>64</v>
      </c>
      <c r="C83" s="42">
        <f>IFERROR('Cash Flow Sheet'!C14,0)</f>
        <v>-590</v>
      </c>
      <c r="D83" s="42">
        <f>IFERROR('Cash Flow Sheet'!D14,0)</f>
        <v>-859</v>
      </c>
      <c r="E83" s="42">
        <f>IFERROR('Cash Flow Sheet'!E14,0)</f>
        <v>-816</v>
      </c>
      <c r="F83" s="42">
        <f>IFERROR('Cash Flow Sheet'!F14,0)</f>
        <v>-1021</v>
      </c>
      <c r="G83" s="42">
        <f>IFERROR('Cash Flow Sheet'!G14,0)</f>
        <v>-928</v>
      </c>
      <c r="H83" s="42">
        <f>IFERROR('Cash Flow Sheet'!H14,0)</f>
        <v>-970</v>
      </c>
      <c r="I83" s="42">
        <f>IFERROR('Cash Flow Sheet'!I14,0)</f>
        <v>-1341</v>
      </c>
      <c r="J83" s="42">
        <f>IFERROR('Cash Flow Sheet'!J14,0)</f>
        <v>-1145</v>
      </c>
      <c r="K83" s="42">
        <f>IFERROR('Cash Flow Sheet'!K14,0)</f>
        <v>-2478</v>
      </c>
      <c r="L83" s="42">
        <f>IFERROR('Cash Flow Sheet'!L14,0)</f>
        <v>-3235</v>
      </c>
    </row>
    <row r="84" spans="2:12" outlineLevel="1" x14ac:dyDescent="0.2">
      <c r="B84" t="s">
        <v>65</v>
      </c>
      <c r="C84" s="42">
        <f>IFERROR('Cash Flow Sheet'!C15,0)</f>
        <v>8</v>
      </c>
      <c r="D84" s="42">
        <f>IFERROR('Cash Flow Sheet'!D15,0)</f>
        <v>24</v>
      </c>
      <c r="E84" s="42">
        <f>IFERROR('Cash Flow Sheet'!E15,0)</f>
        <v>10</v>
      </c>
      <c r="F84" s="42">
        <f>IFERROR('Cash Flow Sheet'!F15,0)</f>
        <v>30</v>
      </c>
      <c r="G84" s="42">
        <f>IFERROR('Cash Flow Sheet'!G15,0)</f>
        <v>3</v>
      </c>
      <c r="H84" s="42">
        <f>IFERROR('Cash Flow Sheet'!H15,0)</f>
        <v>14</v>
      </c>
      <c r="I84" s="42">
        <f>IFERROR('Cash Flow Sheet'!I15,0)</f>
        <v>22</v>
      </c>
      <c r="J84" s="42">
        <f>IFERROR('Cash Flow Sheet'!J15,0)</f>
        <v>35</v>
      </c>
      <c r="K84" s="42">
        <f>IFERROR('Cash Flow Sheet'!K15,0)</f>
        <v>19</v>
      </c>
      <c r="L84" s="42">
        <f>IFERROR('Cash Flow Sheet'!L15,0)</f>
        <v>89</v>
      </c>
    </row>
    <row r="85" spans="2:12" outlineLevel="1" x14ac:dyDescent="0.2">
      <c r="B85" t="s">
        <v>66</v>
      </c>
      <c r="C85" s="42">
        <f>IFERROR('Cash Flow Sheet'!C16,0)</f>
        <v>-43</v>
      </c>
      <c r="D85" s="42">
        <f>IFERROR('Cash Flow Sheet'!D16,0)</f>
        <v>-247</v>
      </c>
      <c r="E85" s="42">
        <f>IFERROR('Cash Flow Sheet'!E16,0)</f>
        <v>-324</v>
      </c>
      <c r="F85" s="42">
        <f>IFERROR('Cash Flow Sheet'!F16,0)</f>
        <v>0</v>
      </c>
      <c r="G85" s="42">
        <f>IFERROR('Cash Flow Sheet'!G16,0)</f>
        <v>0</v>
      </c>
      <c r="H85" s="42">
        <f>IFERROR('Cash Flow Sheet'!H16,0)</f>
        <v>0</v>
      </c>
      <c r="I85" s="42">
        <f>IFERROR('Cash Flow Sheet'!I16,0)</f>
        <v>0</v>
      </c>
      <c r="J85" s="42">
        <f>IFERROR('Cash Flow Sheet'!J16,0)</f>
        <v>0</v>
      </c>
      <c r="K85" s="42">
        <f>IFERROR('Cash Flow Sheet'!K16,0)</f>
        <v>0</v>
      </c>
      <c r="L85" s="42">
        <f>IFERROR('Cash Flow Sheet'!L16,0)</f>
        <v>0</v>
      </c>
    </row>
    <row r="86" spans="2:12" outlineLevel="1" x14ac:dyDescent="0.2">
      <c r="B86" t="s">
        <v>67</v>
      </c>
      <c r="C86" s="42">
        <f>IFERROR('Cash Flow Sheet'!C17,0)</f>
        <v>-72</v>
      </c>
      <c r="D86" s="42">
        <f>IFERROR('Cash Flow Sheet'!D17,0)</f>
        <v>-41</v>
      </c>
      <c r="E86" s="42">
        <f>IFERROR('Cash Flow Sheet'!E17,0)</f>
        <v>-32</v>
      </c>
      <c r="F86" s="42">
        <f>IFERROR('Cash Flow Sheet'!F17,0)</f>
        <v>-94</v>
      </c>
      <c r="G86" s="42">
        <f>IFERROR('Cash Flow Sheet'!G17,0)</f>
        <v>-6</v>
      </c>
      <c r="H86" s="42">
        <f>IFERROR('Cash Flow Sheet'!H17,0)</f>
        <v>-147</v>
      </c>
      <c r="I86" s="42">
        <f>IFERROR('Cash Flow Sheet'!I17,0)</f>
        <v>-266</v>
      </c>
      <c r="J86" s="42">
        <f>IFERROR('Cash Flow Sheet'!J17,0)</f>
        <v>-223</v>
      </c>
      <c r="K86" s="42">
        <f>IFERROR('Cash Flow Sheet'!K17,0)</f>
        <v>-428</v>
      </c>
      <c r="L86" s="42">
        <f>IFERROR('Cash Flow Sheet'!L17,0)</f>
        <v>-191</v>
      </c>
    </row>
    <row r="87" spans="2:12" outlineLevel="1" x14ac:dyDescent="0.2">
      <c r="B87" t="s">
        <v>68</v>
      </c>
      <c r="C87" s="42">
        <f>IFERROR('Cash Flow Sheet'!C18,0)</f>
        <v>0</v>
      </c>
      <c r="D87" s="42">
        <f>IFERROR('Cash Flow Sheet'!D18,0)</f>
        <v>0</v>
      </c>
      <c r="E87" s="42">
        <f>IFERROR('Cash Flow Sheet'!E18,0)</f>
        <v>3</v>
      </c>
      <c r="F87" s="42">
        <f>IFERROR('Cash Flow Sheet'!F18,0)</f>
        <v>6</v>
      </c>
      <c r="G87" s="42">
        <f>IFERROR('Cash Flow Sheet'!G18,0)</f>
        <v>17</v>
      </c>
      <c r="H87" s="42">
        <f>IFERROR('Cash Flow Sheet'!H18,0)</f>
        <v>87</v>
      </c>
      <c r="I87" s="42">
        <f>IFERROR('Cash Flow Sheet'!I18,0)</f>
        <v>0</v>
      </c>
      <c r="J87" s="42">
        <f>IFERROR('Cash Flow Sheet'!J18,0)</f>
        <v>48</v>
      </c>
      <c r="K87" s="42">
        <f>IFERROR('Cash Flow Sheet'!K18,0)</f>
        <v>56</v>
      </c>
      <c r="L87" s="42">
        <f>IFERROR('Cash Flow Sheet'!L18,0)</f>
        <v>335</v>
      </c>
    </row>
    <row r="88" spans="2:12" outlineLevel="1" x14ac:dyDescent="0.2">
      <c r="B88" t="s">
        <v>69</v>
      </c>
      <c r="C88" s="42">
        <f>IFERROR('Cash Flow Sheet'!C19,0)</f>
        <v>48</v>
      </c>
      <c r="D88" s="42">
        <f>IFERROR('Cash Flow Sheet'!D19,0)</f>
        <v>3</v>
      </c>
      <c r="E88" s="42">
        <f>IFERROR('Cash Flow Sheet'!E19,0)</f>
        <v>4</v>
      </c>
      <c r="F88" s="42">
        <f>IFERROR('Cash Flow Sheet'!F19,0)</f>
        <v>27</v>
      </c>
      <c r="G88" s="42">
        <f>IFERROR('Cash Flow Sheet'!G19,0)</f>
        <v>29</v>
      </c>
      <c r="H88" s="42">
        <f>IFERROR('Cash Flow Sheet'!H19,0)</f>
        <v>8</v>
      </c>
      <c r="I88" s="42">
        <f>IFERROR('Cash Flow Sheet'!I19,0)</f>
        <v>13</v>
      </c>
      <c r="J88" s="42">
        <f>IFERROR('Cash Flow Sheet'!J19,0)</f>
        <v>24</v>
      </c>
      <c r="K88" s="42">
        <f>IFERROR('Cash Flow Sheet'!K19,0)</f>
        <v>26</v>
      </c>
      <c r="L88" s="42">
        <f>IFERROR('Cash Flow Sheet'!L19,0)</f>
        <v>42</v>
      </c>
    </row>
    <row r="89" spans="2:12" outlineLevel="1" x14ac:dyDescent="0.2">
      <c r="B89" t="s">
        <v>123</v>
      </c>
      <c r="C89" s="42">
        <f>IFERROR('Cash Flow Sheet'!C20,0)</f>
        <v>1</v>
      </c>
      <c r="D89" s="42">
        <f>IFERROR('Cash Flow Sheet'!D20,0)</f>
        <v>1</v>
      </c>
      <c r="E89" s="42">
        <f>IFERROR('Cash Flow Sheet'!E20,0)</f>
        <v>1</v>
      </c>
      <c r="F89" s="42">
        <f>IFERROR('Cash Flow Sheet'!F20,0)</f>
        <v>1</v>
      </c>
      <c r="G89" s="42">
        <f>IFERROR('Cash Flow Sheet'!G20,0)</f>
        <v>0</v>
      </c>
      <c r="H89" s="42">
        <f>IFERROR('Cash Flow Sheet'!H20,0)</f>
        <v>4</v>
      </c>
      <c r="I89" s="42">
        <f>IFERROR('Cash Flow Sheet'!I20,0)</f>
        <v>0</v>
      </c>
      <c r="J89" s="42">
        <f>IFERROR('Cash Flow Sheet'!J20,0)</f>
        <v>0</v>
      </c>
      <c r="K89" s="42">
        <f>IFERROR('Cash Flow Sheet'!K20,0)</f>
        <v>0</v>
      </c>
      <c r="L89" s="42">
        <f>IFERROR('Cash Flow Sheet'!L20,0)</f>
        <v>0</v>
      </c>
    </row>
    <row r="90" spans="2:12" outlineLevel="1" x14ac:dyDescent="0.2">
      <c r="B90" t="s">
        <v>124</v>
      </c>
      <c r="C90" s="42">
        <f>IFERROR('Cash Flow Sheet'!C21,0)</f>
        <v>0</v>
      </c>
      <c r="D90" s="42">
        <f>IFERROR('Cash Flow Sheet'!D21,0)</f>
        <v>0</v>
      </c>
      <c r="E90" s="42">
        <f>IFERROR('Cash Flow Sheet'!E21,0)</f>
        <v>0</v>
      </c>
      <c r="F90" s="42">
        <f>IFERROR('Cash Flow Sheet'!F21,0)</f>
        <v>0</v>
      </c>
      <c r="G90" s="42">
        <f>IFERROR('Cash Flow Sheet'!G21,0)</f>
        <v>0</v>
      </c>
      <c r="H90" s="42">
        <f>IFERROR('Cash Flow Sheet'!H21,0)</f>
        <v>0</v>
      </c>
      <c r="I90" s="42">
        <f>IFERROR('Cash Flow Sheet'!I21,0)</f>
        <v>-87</v>
      </c>
      <c r="J90" s="42">
        <f>IFERROR('Cash Flow Sheet'!J21,0)</f>
        <v>-388</v>
      </c>
      <c r="K90" s="42">
        <f>IFERROR('Cash Flow Sheet'!K21,0)</f>
        <v>-98</v>
      </c>
      <c r="L90" s="42">
        <f>IFERROR('Cash Flow Sheet'!L21,0)</f>
        <v>-4</v>
      </c>
    </row>
    <row r="91" spans="2:12" outlineLevel="1" x14ac:dyDescent="0.2">
      <c r="B91" t="s">
        <v>125</v>
      </c>
      <c r="C91" s="42">
        <f>IFERROR('Cash Flow Sheet'!C22,0)</f>
        <v>0</v>
      </c>
      <c r="D91" s="42">
        <f>IFERROR('Cash Flow Sheet'!D22,0)</f>
        <v>34</v>
      </c>
      <c r="E91" s="42">
        <f>IFERROR('Cash Flow Sheet'!E22,0)</f>
        <v>0</v>
      </c>
      <c r="F91" s="42">
        <f>IFERROR('Cash Flow Sheet'!F22,0)</f>
        <v>0</v>
      </c>
      <c r="G91" s="42">
        <f>IFERROR('Cash Flow Sheet'!G22,0)</f>
        <v>0</v>
      </c>
      <c r="H91" s="42">
        <f>IFERROR('Cash Flow Sheet'!H22,0)</f>
        <v>0</v>
      </c>
      <c r="I91" s="42">
        <f>IFERROR('Cash Flow Sheet'!I22,0)</f>
        <v>0</v>
      </c>
      <c r="J91" s="42">
        <f>IFERROR('Cash Flow Sheet'!J22,0)</f>
        <v>169</v>
      </c>
      <c r="K91" s="42">
        <f>IFERROR('Cash Flow Sheet'!K22,0)</f>
        <v>4</v>
      </c>
      <c r="L91" s="42">
        <f>IFERROR('Cash Flow Sheet'!L22,0)</f>
        <v>0</v>
      </c>
    </row>
    <row r="92" spans="2:12" outlineLevel="1" x14ac:dyDescent="0.2">
      <c r="B92" t="s">
        <v>73</v>
      </c>
      <c r="C92" s="42">
        <f>IFERROR('Cash Flow Sheet'!C23,0)</f>
        <v>-40</v>
      </c>
      <c r="D92" s="42">
        <f>IFERROR('Cash Flow Sheet'!D23,0)</f>
        <v>-33</v>
      </c>
      <c r="E92" s="42">
        <f>IFERROR('Cash Flow Sheet'!E23,0)</f>
        <v>-6</v>
      </c>
      <c r="F92" s="42">
        <f>IFERROR('Cash Flow Sheet'!F23,0)</f>
        <v>-39</v>
      </c>
      <c r="G92" s="42">
        <f>IFERROR('Cash Flow Sheet'!G23,0)</f>
        <v>-53</v>
      </c>
      <c r="H92" s="42">
        <f>IFERROR('Cash Flow Sheet'!H23,0)</f>
        <v>-75</v>
      </c>
      <c r="I92" s="42">
        <f>IFERROR('Cash Flow Sheet'!I23,0)</f>
        <v>0</v>
      </c>
      <c r="J92" s="42">
        <f>IFERROR('Cash Flow Sheet'!J23,0)</f>
        <v>0</v>
      </c>
      <c r="K92" s="42">
        <f>IFERROR('Cash Flow Sheet'!K23,0)</f>
        <v>0</v>
      </c>
      <c r="L92" s="42">
        <f>IFERROR('Cash Flow Sheet'!L23,0)</f>
        <v>0</v>
      </c>
    </row>
    <row r="93" spans="2:12" outlineLevel="1" x14ac:dyDescent="0.2">
      <c r="B93" s="21" t="s">
        <v>74</v>
      </c>
      <c r="C93" s="50">
        <f>IFERROR('Cash Flow Sheet'!C24,0)</f>
        <v>-21</v>
      </c>
      <c r="D93" s="50">
        <f>IFERROR('Cash Flow Sheet'!D24,0)</f>
        <v>23</v>
      </c>
      <c r="E93" s="50">
        <f>IFERROR('Cash Flow Sheet'!E24,0)</f>
        <v>56</v>
      </c>
      <c r="F93" s="50">
        <f>IFERROR('Cash Flow Sheet'!F24,0)</f>
        <v>0</v>
      </c>
      <c r="G93" s="50">
        <f>IFERROR('Cash Flow Sheet'!G24,0)</f>
        <v>55</v>
      </c>
      <c r="H93" s="50">
        <f>IFERROR('Cash Flow Sheet'!H24,0)</f>
        <v>-392</v>
      </c>
      <c r="I93" s="50">
        <f>IFERROR('Cash Flow Sheet'!I24,0)</f>
        <v>351</v>
      </c>
      <c r="J93" s="50">
        <f>IFERROR('Cash Flow Sheet'!J24,0)</f>
        <v>0</v>
      </c>
      <c r="K93" s="50">
        <f>IFERROR('Cash Flow Sheet'!K24,0)</f>
        <v>0</v>
      </c>
      <c r="L93" s="50">
        <f>IFERROR('Cash Flow Sheet'!L24,0)</f>
        <v>0</v>
      </c>
    </row>
    <row r="94" spans="2:12" outlineLevel="1" x14ac:dyDescent="0.2">
      <c r="B94" s="24" t="s">
        <v>126</v>
      </c>
      <c r="C94" s="42">
        <f t="shared" ref="C94:L94" si="25">IFERROR(SUM(C83:C93),0)</f>
        <v>-709</v>
      </c>
      <c r="D94" s="42">
        <f t="shared" si="25"/>
        <v>-1095</v>
      </c>
      <c r="E94" s="42">
        <f t="shared" si="25"/>
        <v>-1104</v>
      </c>
      <c r="F94" s="42">
        <f t="shared" si="25"/>
        <v>-1090</v>
      </c>
      <c r="G94" s="42">
        <f t="shared" si="25"/>
        <v>-883</v>
      </c>
      <c r="H94" s="42">
        <f t="shared" si="25"/>
        <v>-1471</v>
      </c>
      <c r="I94" s="42">
        <f t="shared" si="25"/>
        <v>-1308</v>
      </c>
      <c r="J94" s="42">
        <f t="shared" si="25"/>
        <v>-1480</v>
      </c>
      <c r="K94" s="42">
        <f t="shared" si="25"/>
        <v>-2899</v>
      </c>
      <c r="L94" s="42">
        <f t="shared" si="25"/>
        <v>-2964</v>
      </c>
    </row>
    <row r="95" spans="2:12" outlineLevel="1" x14ac:dyDescent="0.2"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2:12" outlineLevel="1" x14ac:dyDescent="0.2">
      <c r="B96" s="24" t="s">
        <v>127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</row>
    <row r="97" spans="2:21" outlineLevel="1" x14ac:dyDescent="0.2">
      <c r="B97" t="s">
        <v>76</v>
      </c>
      <c r="C97" s="42">
        <f>IFERROR('Cash Flow Sheet'!C26,0)</f>
        <v>0</v>
      </c>
      <c r="D97" s="42">
        <f>IFERROR('Cash Flow Sheet'!D26,0)</f>
        <v>0</v>
      </c>
      <c r="E97" s="42">
        <f>IFERROR('Cash Flow Sheet'!E26,0)</f>
        <v>0</v>
      </c>
      <c r="F97" s="42">
        <f>IFERROR('Cash Flow Sheet'!F26,0)</f>
        <v>0</v>
      </c>
      <c r="G97" s="42">
        <f>IFERROR('Cash Flow Sheet'!G26,0)</f>
        <v>0</v>
      </c>
      <c r="H97" s="42">
        <f>IFERROR('Cash Flow Sheet'!H26,0)</f>
        <v>0</v>
      </c>
      <c r="I97" s="42">
        <f>IFERROR('Cash Flow Sheet'!I26,0)</f>
        <v>0</v>
      </c>
      <c r="J97" s="42">
        <f>IFERROR('Cash Flow Sheet'!J26,0)</f>
        <v>0</v>
      </c>
      <c r="K97" s="42">
        <f>IFERROR('Cash Flow Sheet'!K26,0)</f>
        <v>0</v>
      </c>
      <c r="L97" s="42">
        <f>IFERROR('Cash Flow Sheet'!L26,0)</f>
        <v>6</v>
      </c>
    </row>
    <row r="98" spans="2:21" outlineLevel="1" x14ac:dyDescent="0.2">
      <c r="B98" t="s">
        <v>77</v>
      </c>
      <c r="C98" s="42">
        <f>IFERROR('Cash Flow Sheet'!C27,0)</f>
        <v>274</v>
      </c>
      <c r="D98" s="42">
        <f>IFERROR('Cash Flow Sheet'!D27,0)</f>
        <v>694</v>
      </c>
      <c r="E98" s="42">
        <f>IFERROR('Cash Flow Sheet'!E27,0)</f>
        <v>2507</v>
      </c>
      <c r="F98" s="42">
        <f>IFERROR('Cash Flow Sheet'!F27,0)</f>
        <v>1972</v>
      </c>
      <c r="G98" s="42">
        <f>IFERROR('Cash Flow Sheet'!G27,0)</f>
        <v>1271</v>
      </c>
      <c r="H98" s="42">
        <f>IFERROR('Cash Flow Sheet'!H27,0)</f>
        <v>3353</v>
      </c>
      <c r="I98" s="42">
        <f>IFERROR('Cash Flow Sheet'!I27,0)</f>
        <v>6588</v>
      </c>
      <c r="J98" s="42">
        <f>IFERROR('Cash Flow Sheet'!J27,0)</f>
        <v>3844</v>
      </c>
      <c r="K98" s="42">
        <f>IFERROR('Cash Flow Sheet'!K27,0)</f>
        <v>2328</v>
      </c>
      <c r="L98" s="42">
        <f>IFERROR('Cash Flow Sheet'!L27,0)</f>
        <v>3556</v>
      </c>
    </row>
    <row r="99" spans="2:21" outlineLevel="1" x14ac:dyDescent="0.2">
      <c r="B99" t="s">
        <v>78</v>
      </c>
      <c r="C99" s="42">
        <f>IFERROR('Cash Flow Sheet'!C28,0)</f>
        <v>0</v>
      </c>
      <c r="D99" s="42">
        <f>IFERROR('Cash Flow Sheet'!D28,0)</f>
        <v>0</v>
      </c>
      <c r="E99" s="42">
        <f>IFERROR('Cash Flow Sheet'!E28,0)</f>
        <v>0</v>
      </c>
      <c r="F99" s="42">
        <f>IFERROR('Cash Flow Sheet'!F28,0)</f>
        <v>0</v>
      </c>
      <c r="G99" s="42">
        <f>IFERROR('Cash Flow Sheet'!G28,0)</f>
        <v>-673</v>
      </c>
      <c r="H99" s="42">
        <f>IFERROR('Cash Flow Sheet'!H28,0)</f>
        <v>0</v>
      </c>
      <c r="I99" s="42">
        <f>IFERROR('Cash Flow Sheet'!I28,0)</f>
        <v>0</v>
      </c>
      <c r="J99" s="42">
        <f>IFERROR('Cash Flow Sheet'!J28,0)</f>
        <v>-182</v>
      </c>
      <c r="K99" s="42">
        <f>IFERROR('Cash Flow Sheet'!K28,0)</f>
        <v>0</v>
      </c>
      <c r="L99" s="42">
        <f>IFERROR('Cash Flow Sheet'!L28,0)</f>
        <v>-1448</v>
      </c>
    </row>
    <row r="100" spans="2:21" outlineLevel="1" x14ac:dyDescent="0.2">
      <c r="B100" t="s">
        <v>79</v>
      </c>
      <c r="C100" s="42">
        <f>IFERROR('Cash Flow Sheet'!C29,0)</f>
        <v>0</v>
      </c>
      <c r="D100" s="42">
        <f>IFERROR('Cash Flow Sheet'!D29,0)</f>
        <v>6</v>
      </c>
      <c r="E100" s="42">
        <f>IFERROR('Cash Flow Sheet'!E29,0)</f>
        <v>28</v>
      </c>
      <c r="F100" s="42">
        <f>IFERROR('Cash Flow Sheet'!F29,0)</f>
        <v>15</v>
      </c>
      <c r="G100" s="42">
        <f>IFERROR('Cash Flow Sheet'!G29,0)</f>
        <v>0</v>
      </c>
      <c r="H100" s="42">
        <f>IFERROR('Cash Flow Sheet'!H29,0)</f>
        <v>0</v>
      </c>
      <c r="I100" s="42">
        <f>IFERROR('Cash Flow Sheet'!I29,0)</f>
        <v>0</v>
      </c>
      <c r="J100" s="42">
        <f>IFERROR('Cash Flow Sheet'!J29,0)</f>
        <v>0</v>
      </c>
      <c r="K100" s="42">
        <f>IFERROR('Cash Flow Sheet'!K29,0)</f>
        <v>0</v>
      </c>
      <c r="L100" s="42">
        <f>IFERROR('Cash Flow Sheet'!L29,0)</f>
        <v>0</v>
      </c>
    </row>
    <row r="101" spans="2:21" outlineLevel="1" x14ac:dyDescent="0.2">
      <c r="B101" t="s">
        <v>128</v>
      </c>
      <c r="C101" s="42">
        <f>IFERROR('Cash Flow Sheet'!C30,0)</f>
        <v>-59</v>
      </c>
      <c r="D101" s="42">
        <f>IFERROR('Cash Flow Sheet'!D30,0)</f>
        <v>-62</v>
      </c>
      <c r="E101" s="42">
        <f>IFERROR('Cash Flow Sheet'!E30,0)</f>
        <v>-125</v>
      </c>
      <c r="F101" s="42">
        <f>IFERROR('Cash Flow Sheet'!F30,0)</f>
        <v>-124</v>
      </c>
      <c r="G101" s="42">
        <f>IFERROR('Cash Flow Sheet'!G30,0)</f>
        <v>-127</v>
      </c>
      <c r="H101" s="42">
        <f>IFERROR('Cash Flow Sheet'!H30,0)</f>
        <v>-156</v>
      </c>
      <c r="I101" s="42">
        <f>IFERROR('Cash Flow Sheet'!I30,0)</f>
        <v>-112</v>
      </c>
      <c r="J101" s="42">
        <f>IFERROR('Cash Flow Sheet'!J30,0)</f>
        <v>-284</v>
      </c>
      <c r="K101" s="42">
        <f>IFERROR('Cash Flow Sheet'!K30,0)</f>
        <v>-407</v>
      </c>
      <c r="L101" s="42">
        <f>IFERROR('Cash Flow Sheet'!L30,0)</f>
        <v>-249</v>
      </c>
    </row>
    <row r="102" spans="2:21" outlineLevel="1" x14ac:dyDescent="0.2">
      <c r="B102" t="s">
        <v>81</v>
      </c>
      <c r="C102" s="42">
        <f>IFERROR('Cash Flow Sheet'!C31,0)</f>
        <v>-143</v>
      </c>
      <c r="D102" s="42">
        <f>IFERROR('Cash Flow Sheet'!D31,0)</f>
        <v>-189</v>
      </c>
      <c r="E102" s="42">
        <f>IFERROR('Cash Flow Sheet'!E31,0)</f>
        <v>-200</v>
      </c>
      <c r="F102" s="42">
        <f>IFERROR('Cash Flow Sheet'!F31,0)</f>
        <v>-200</v>
      </c>
      <c r="G102" s="42">
        <f>IFERROR('Cash Flow Sheet'!G31,0)</f>
        <v>-100</v>
      </c>
      <c r="H102" s="42">
        <f>IFERROR('Cash Flow Sheet'!H31,0)</f>
        <v>-190</v>
      </c>
      <c r="I102" s="42">
        <f>IFERROR('Cash Flow Sheet'!I31,0)</f>
        <v>-292</v>
      </c>
      <c r="J102" s="42">
        <f>IFERROR('Cash Flow Sheet'!J31,0)</f>
        <v>-380</v>
      </c>
      <c r="K102" s="42">
        <f>IFERROR('Cash Flow Sheet'!K31,0)</f>
        <v>-475</v>
      </c>
      <c r="L102" s="42">
        <f>IFERROR('Cash Flow Sheet'!L31,0)</f>
        <v>-570</v>
      </c>
    </row>
    <row r="103" spans="2:21" outlineLevel="1" x14ac:dyDescent="0.2">
      <c r="B103" t="s">
        <v>82</v>
      </c>
      <c r="C103" s="42">
        <f>IFERROR('Cash Flow Sheet'!C32,0)</f>
        <v>0</v>
      </c>
      <c r="D103" s="42">
        <f>IFERROR('Cash Flow Sheet'!D32,0)</f>
        <v>0</v>
      </c>
      <c r="E103" s="42">
        <f>IFERROR('Cash Flow Sheet'!E32,0)</f>
        <v>0</v>
      </c>
      <c r="F103" s="42">
        <f>IFERROR('Cash Flow Sheet'!F32,0)</f>
        <v>-43</v>
      </c>
      <c r="G103" s="42">
        <f>IFERROR('Cash Flow Sheet'!G32,0)</f>
        <v>-52</v>
      </c>
      <c r="H103" s="42">
        <f>IFERROR('Cash Flow Sheet'!H32,0)</f>
        <v>-82</v>
      </c>
      <c r="I103" s="42">
        <f>IFERROR('Cash Flow Sheet'!I32,0)</f>
        <v>-128</v>
      </c>
      <c r="J103" s="42">
        <f>IFERROR('Cash Flow Sheet'!J32,0)</f>
        <v>-196</v>
      </c>
      <c r="K103" s="42">
        <f>IFERROR('Cash Flow Sheet'!K32,0)</f>
        <v>-238</v>
      </c>
      <c r="L103" s="42">
        <f>IFERROR('Cash Flow Sheet'!L32,0)</f>
        <v>-414</v>
      </c>
    </row>
    <row r="104" spans="2:21" outlineLevel="1" x14ac:dyDescent="0.2">
      <c r="B104" s="21" t="s">
        <v>83</v>
      </c>
      <c r="C104" s="50">
        <f>IFERROR('Cash Flow Sheet'!C33,0)</f>
        <v>-131</v>
      </c>
      <c r="D104" s="50">
        <f>IFERROR('Cash Flow Sheet'!D33,0)</f>
        <v>447</v>
      </c>
      <c r="E104" s="50">
        <f>IFERROR('Cash Flow Sheet'!E33,0)</f>
        <v>0</v>
      </c>
      <c r="F104" s="50">
        <f>IFERROR('Cash Flow Sheet'!F33,0)</f>
        <v>0</v>
      </c>
      <c r="G104" s="50">
        <f>IFERROR('Cash Flow Sheet'!G33,0)</f>
        <v>-55</v>
      </c>
      <c r="H104" s="50">
        <f>IFERROR('Cash Flow Sheet'!H33,0)</f>
        <v>-7</v>
      </c>
      <c r="I104" s="50">
        <f>IFERROR('Cash Flow Sheet'!I33,0)</f>
        <v>62</v>
      </c>
      <c r="J104" s="50">
        <f>IFERROR('Cash Flow Sheet'!J33,0)</f>
        <v>436</v>
      </c>
      <c r="K104" s="50">
        <f>IFERROR('Cash Flow Sheet'!K33,0)</f>
        <v>-53</v>
      </c>
      <c r="L104" s="50">
        <f>IFERROR('Cash Flow Sheet'!L33,0)</f>
        <v>28</v>
      </c>
    </row>
    <row r="105" spans="2:21" outlineLevel="1" x14ac:dyDescent="0.2">
      <c r="B105" s="24" t="s">
        <v>129</v>
      </c>
      <c r="C105" s="42">
        <f t="shared" ref="C105:L105" si="26">IFERROR(SUM(C97:C104),0)</f>
        <v>-59</v>
      </c>
      <c r="D105" s="42">
        <f t="shared" si="26"/>
        <v>896</v>
      </c>
      <c r="E105" s="42">
        <f t="shared" si="26"/>
        <v>2210</v>
      </c>
      <c r="F105" s="42">
        <f t="shared" si="26"/>
        <v>1620</v>
      </c>
      <c r="G105" s="42">
        <f t="shared" si="26"/>
        <v>264</v>
      </c>
      <c r="H105" s="42">
        <f t="shared" si="26"/>
        <v>2918</v>
      </c>
      <c r="I105" s="42">
        <f t="shared" si="26"/>
        <v>6118</v>
      </c>
      <c r="J105" s="42">
        <f t="shared" si="26"/>
        <v>3238</v>
      </c>
      <c r="K105" s="42">
        <f t="shared" si="26"/>
        <v>1155</v>
      </c>
      <c r="L105" s="42">
        <f t="shared" si="26"/>
        <v>909</v>
      </c>
    </row>
    <row r="106" spans="2:21" outlineLevel="1" x14ac:dyDescent="0.2">
      <c r="B106" s="21"/>
      <c r="C106" s="50"/>
      <c r="D106" s="50"/>
      <c r="E106" s="50"/>
      <c r="F106" s="50"/>
      <c r="G106" s="50"/>
      <c r="H106" s="50"/>
      <c r="I106" s="50"/>
      <c r="J106" s="50"/>
      <c r="K106" s="50"/>
      <c r="L106" s="50"/>
    </row>
    <row r="107" spans="2:21" outlineLevel="1" x14ac:dyDescent="0.2">
      <c r="B107" s="24" t="s">
        <v>50</v>
      </c>
      <c r="C107" s="42">
        <f t="shared" ref="C107:L107" si="27">IFERROR(C80+C94+C105,0)</f>
        <v>-79</v>
      </c>
      <c r="D107" s="42">
        <f t="shared" si="27"/>
        <v>156</v>
      </c>
      <c r="E107" s="42">
        <f t="shared" si="27"/>
        <v>188</v>
      </c>
      <c r="F107" s="42">
        <f t="shared" si="27"/>
        <v>902</v>
      </c>
      <c r="G107" s="42">
        <f t="shared" si="27"/>
        <v>532</v>
      </c>
      <c r="H107" s="42">
        <f t="shared" si="27"/>
        <v>-129</v>
      </c>
      <c r="I107" s="42">
        <f t="shared" si="27"/>
        <v>405</v>
      </c>
      <c r="J107" s="42">
        <f t="shared" si="27"/>
        <v>506</v>
      </c>
      <c r="K107" s="42">
        <f t="shared" si="27"/>
        <v>1758</v>
      </c>
      <c r="L107" s="42">
        <f t="shared" si="27"/>
        <v>-189</v>
      </c>
    </row>
    <row r="110" spans="2:21" x14ac:dyDescent="0.2">
      <c r="B110" s="28"/>
      <c r="C110" s="28"/>
      <c r="D110" s="28"/>
      <c r="E110" s="28"/>
      <c r="F110" s="28"/>
      <c r="G110" s="28"/>
      <c r="H110" s="28"/>
      <c r="I110" s="28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</sheetData>
  <mergeCells count="1">
    <mergeCell ref="B2:L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P39"/>
  <sheetViews>
    <sheetView showGridLines="0" zoomScale="93" zoomScaleNormal="93" workbookViewId="0">
      <selection activeCell="P13" sqref="P13"/>
    </sheetView>
  </sheetViews>
  <sheetFormatPr baseColWidth="10" defaultColWidth="12.6640625" defaultRowHeight="15" x14ac:dyDescent="0.2"/>
  <cols>
    <col min="1" max="1" width="2" customWidth="1"/>
    <col min="2" max="2" width="22.5" customWidth="1"/>
  </cols>
  <sheetData>
    <row r="3" spans="2:16" x14ac:dyDescent="0.2">
      <c r="B3" s="13" t="s">
        <v>55</v>
      </c>
      <c r="C3" s="30">
        <f>IFERROR('Historical FS'!C3,0)</f>
        <v>17</v>
      </c>
      <c r="D3" s="30">
        <f>IFERROR('Historical FS'!D3,0)</f>
        <v>18</v>
      </c>
      <c r="E3" s="30">
        <f>IFERROR('Historical FS'!E3,0)</f>
        <v>19</v>
      </c>
      <c r="F3" s="30">
        <f>IFERROR('Historical FS'!F3,0)</f>
        <v>20</v>
      </c>
      <c r="G3" s="30">
        <f>IFERROR('Historical FS'!G3,0)</f>
        <v>21</v>
      </c>
      <c r="H3" s="30">
        <f>IFERROR('Historical FS'!H3,0)</f>
        <v>22</v>
      </c>
      <c r="I3" s="30">
        <f>IFERROR('Historical FS'!I3,0)</f>
        <v>23</v>
      </c>
      <c r="J3" s="30">
        <f>IFERROR('Historical FS'!J3,0)</f>
        <v>24</v>
      </c>
      <c r="K3" s="30">
        <f>IFERROR('Historical FS'!K3,0)</f>
        <v>25</v>
      </c>
      <c r="L3" s="30">
        <f>IFERROR('Historical FS'!L3,0)</f>
        <v>26</v>
      </c>
      <c r="M3" s="31" t="s">
        <v>130</v>
      </c>
      <c r="N3" s="31" t="s">
        <v>131</v>
      </c>
      <c r="O3" s="49"/>
      <c r="P3" s="49"/>
    </row>
    <row r="5" spans="2:16" x14ac:dyDescent="0.2">
      <c r="B5" t="s">
        <v>90</v>
      </c>
      <c r="C5" s="25"/>
      <c r="D5" s="25">
        <f>IFERROR('Historical FS'!D6,0)</f>
        <v>0.31114083555464256</v>
      </c>
      <c r="E5" s="25">
        <f>IFERROR('Historical FS'!E6,0)</f>
        <v>0.23376264133045699</v>
      </c>
      <c r="F5" s="25">
        <f>IFERROR('Historical FS'!F6,0)</f>
        <v>-6.5013921137857755E-2</v>
      </c>
      <c r="G5" s="25">
        <f>IFERROR('Historical FS'!G6,0)</f>
        <v>3.0319942745914652E-2</v>
      </c>
      <c r="H5" s="25">
        <f>IFERROR('Historical FS'!H6,0)</f>
        <v>0.25408247437543841</v>
      </c>
      <c r="I5" s="25">
        <f>IFERROR('Historical FS'!I6,0)</f>
        <v>0.31281392024983457</v>
      </c>
      <c r="J5" s="25">
        <f>IFERROR('Historical FS'!J6,0)</f>
        <v>0.21282392344527534</v>
      </c>
      <c r="K5" s="25">
        <f>IFERROR('Historical FS'!K6,0)</f>
        <v>0.1369353167528049</v>
      </c>
      <c r="L5" s="25">
        <f>IFERROR('Historical FS'!L6,0)</f>
        <v>0.27173461141449984</v>
      </c>
      <c r="M5" s="25">
        <f>IFERROR(AVERAGE(D5:L5),0)</f>
        <v>0.18873330497011218</v>
      </c>
      <c r="N5" s="25">
        <f>IFERROR(MEDIAN(C5:L5),0)</f>
        <v>0.23376264133045699</v>
      </c>
      <c r="O5" s="25"/>
      <c r="P5" s="25"/>
    </row>
    <row r="6" spans="2:16" x14ac:dyDescent="0.2">
      <c r="B6" t="s">
        <v>132</v>
      </c>
      <c r="C6" s="25"/>
      <c r="D6" s="25">
        <f>IFERROR('Historical FS'!D17/'Historical FS'!C17-1,0)</f>
        <v>1.1188543659204799</v>
      </c>
      <c r="E6" s="25">
        <f>IFERROR('Historical FS'!E17/'Historical FS'!D17-1,0)</f>
        <v>0.22309381481029722</v>
      </c>
      <c r="F6" s="25">
        <f>IFERROR('Historical FS'!F17/'Historical FS'!E17-1,0)</f>
        <v>0.13604037623308107</v>
      </c>
      <c r="G6" s="25">
        <f>IFERROR('Historical FS'!G17/'Historical FS'!F17-1,0)</f>
        <v>-2.0308000280957361E-2</v>
      </c>
      <c r="H6" s="25">
        <f>IFERROR('Historical FS'!H17/'Historical FS'!G17-1,0)</f>
        <v>9.723703431525621E-4</v>
      </c>
      <c r="I6" s="25">
        <f>IFERROR('Historical FS'!I17/'Historical FS'!H17-1,0)</f>
        <v>0.67639883070779705</v>
      </c>
      <c r="J6" s="25">
        <f>IFERROR('Historical FS'!J17/'Historical FS'!I17-1,0)</f>
        <v>0.27852563161085064</v>
      </c>
      <c r="K6" s="25">
        <f>IFERROR('Historical FS'!K17/'Historical FS'!J17-1,0)</f>
        <v>0.34281853289917485</v>
      </c>
      <c r="L6" s="25">
        <f>IFERROR('Historical FS'!L17/'Historical FS'!K17-1,0)</f>
        <v>0.41703892888029026</v>
      </c>
      <c r="M6" s="25">
        <f>IFERROR(AVERAGE(D6:L6),0)</f>
        <v>0.35260387234712964</v>
      </c>
      <c r="N6" s="25">
        <f>IFERROR(MEDIAN(C6:L6),0)</f>
        <v>0.27852563161085064</v>
      </c>
      <c r="O6" s="25"/>
      <c r="P6" s="25"/>
    </row>
    <row r="7" spans="2:16" x14ac:dyDescent="0.2">
      <c r="B7" t="s">
        <v>133</v>
      </c>
      <c r="C7" s="25"/>
      <c r="D7" s="25">
        <f>IFERROR('Historical FS'!D35/'Historical FS'!C35-1,0)</f>
        <v>0.27601517878100301</v>
      </c>
      <c r="E7" s="25">
        <f>IFERROR('Historical FS'!E35/'Historical FS'!D35-1,0)</f>
        <v>8.020234536675086E-2</v>
      </c>
      <c r="F7" s="25">
        <f>IFERROR('Historical FS'!F35/'Historical FS'!E35-1,0)</f>
        <v>-0.1135992734187633</v>
      </c>
      <c r="G7" s="25">
        <f>IFERROR('Historical FS'!G35/'Historical FS'!F35-1,0)</f>
        <v>-4.8605552175722821E-2</v>
      </c>
      <c r="H7" s="25">
        <f>IFERROR('Historical FS'!H35/'Historical FS'!G35-1,0)</f>
        <v>0.27355029784942619</v>
      </c>
      <c r="I7" s="25">
        <f>IFERROR('Historical FS'!I35/'Historical FS'!H35-1,0)</f>
        <v>0.75559578235247482</v>
      </c>
      <c r="J7" s="25">
        <f>IFERROR('Historical FS'!J35/'Historical FS'!I35-1,0)</f>
        <v>0.26921658500605861</v>
      </c>
      <c r="K7" s="25">
        <f>IFERROR('Historical FS'!K35/'Historical FS'!J35-1,0)</f>
        <v>0.32566400018975683</v>
      </c>
      <c r="L7" s="25">
        <f>IFERROR('Historical FS'!L35/'Historical FS'!K35-1,0)</f>
        <v>0.35014493012936354</v>
      </c>
      <c r="M7" s="25">
        <f>IFERROR(AVERAGE(D7:L7),0)</f>
        <v>0.24090936600892754</v>
      </c>
      <c r="N7" s="25">
        <f>IFERROR(MEDIAN(C7:L7),0)</f>
        <v>0.27355029784942619</v>
      </c>
      <c r="O7" s="25"/>
      <c r="P7" s="25"/>
    </row>
    <row r="8" spans="2:16" x14ac:dyDescent="0.2">
      <c r="B8" s="21" t="s">
        <v>134</v>
      </c>
      <c r="C8" s="32"/>
      <c r="D8" s="32">
        <f>IFERROR('Historical FS'!D43/'Historical FS'!C43-1,0)</f>
        <v>0.31991917831284722</v>
      </c>
      <c r="E8" s="32">
        <f>IFERROR('Historical FS'!E43/'Historical FS'!D43-1,0)</f>
        <v>6.0594463579538349E-2</v>
      </c>
      <c r="F8" s="32">
        <f>IFERROR('Historical FS'!F43/'Historical FS'!E43-1,0)</f>
        <v>0</v>
      </c>
      <c r="G8" s="32">
        <f>IFERROR('Historical FS'!G43/'Historical FS'!F43-1,0)</f>
        <v>0</v>
      </c>
      <c r="H8" s="32">
        <f>IFERROR('Historical FS'!H43/'Historical FS'!G43-1,0)</f>
        <v>7.144575414962695E-2</v>
      </c>
      <c r="I8" s="32">
        <f>IFERROR('Historical FS'!I43/'Historical FS'!H43-1,0)</f>
        <v>0.33335204310731958</v>
      </c>
      <c r="J8" s="32">
        <f>IFERROR('Historical FS'!J43/'Historical FS'!I43-1,0)</f>
        <v>0.59999999999999964</v>
      </c>
      <c r="K8" s="32">
        <f>IFERROR('Historical FS'!K43/'Historical FS'!J43-1,0)</f>
        <v>0.25000000000000022</v>
      </c>
      <c r="L8" s="32">
        <f>IFERROR('Historical FS'!L43/'Historical FS'!K43-1,0)</f>
        <v>0.19999999999999973</v>
      </c>
      <c r="M8" s="32">
        <f>IFERROR(AVERAGE(D8:L8),0)</f>
        <v>0.20392349323881465</v>
      </c>
      <c r="N8" s="32">
        <f>IFERROR(MEDIAN(C8:L8),0)</f>
        <v>0.19999999999999973</v>
      </c>
      <c r="O8" s="25"/>
      <c r="P8" s="25"/>
    </row>
    <row r="9" spans="2:16" x14ac:dyDescent="0.2">
      <c r="M9" s="25"/>
      <c r="N9" s="25"/>
      <c r="O9" s="25"/>
      <c r="P9" s="25"/>
    </row>
    <row r="10" spans="2:16" x14ac:dyDescent="0.2">
      <c r="B10" t="s">
        <v>135</v>
      </c>
      <c r="C10" s="25">
        <f>IFERROR('Historical FS'!C11/'Historical FS'!C5,0)</f>
        <v>0.18848604867997279</v>
      </c>
      <c r="D10" s="25">
        <f>IFERROR('Historical FS'!D11/'Historical FS'!D5,0)</f>
        <v>0.22530989427946321</v>
      </c>
      <c r="E10" s="25">
        <f>IFERROR('Historical FS'!E11/'Historical FS'!E5,0)</f>
        <v>0.21448423337511574</v>
      </c>
      <c r="F10" s="25">
        <f>IFERROR('Historical FS'!F11/'Historical FS'!F5,0)</f>
        <v>0.25145960250003846</v>
      </c>
      <c r="G10" s="25">
        <f>IFERROR('Historical FS'!G11/'Historical FS'!G5,0)</f>
        <v>0.23517235626508054</v>
      </c>
      <c r="H10" s="25">
        <f>IFERROR('Historical FS'!H11/'Historical FS'!H5,0)</f>
        <v>0.21207202864590932</v>
      </c>
      <c r="I10" s="25">
        <f>IFERROR('Historical FS'!I11/'Historical FS'!I5,0)</f>
        <v>0.23808883408045106</v>
      </c>
      <c r="J10" s="25">
        <f>IFERROR('Historical FS'!J11/'Historical FS'!J5,0)</f>
        <v>0.26339481191021286</v>
      </c>
      <c r="K10" s="25">
        <f>IFERROR('Historical FS'!K11/'Historical FS'!K5,0)</f>
        <v>0.29877853914161367</v>
      </c>
      <c r="L10" s="25">
        <f>IFERROR('Historical FS'!L11/'Historical FS'!L5,0)</f>
        <v>0.30438712512609356</v>
      </c>
      <c r="M10" s="25">
        <f>IFERROR(AVERAGE(C10:L10),0)</f>
        <v>0.24316334740039508</v>
      </c>
      <c r="N10" s="25">
        <f>IFERROR(MEDIAN(C10:L10),0)</f>
        <v>0.2366305951727658</v>
      </c>
      <c r="O10" s="25"/>
      <c r="P10" s="25"/>
    </row>
    <row r="11" spans="2:16" x14ac:dyDescent="0.2">
      <c r="B11" t="s">
        <v>136</v>
      </c>
      <c r="C11" s="25">
        <f>IFERROR('Historical FS'!C18,0)</f>
        <v>6.2083253762050233E-2</v>
      </c>
      <c r="D11" s="25">
        <f>IFERROR('Historical FS'!D18,0)</f>
        <v>0.10032894233564352</v>
      </c>
      <c r="E11" s="25">
        <f>IFERROR('Historical FS'!E18,0)</f>
        <v>9.9461358859801008E-2</v>
      </c>
      <c r="F11" s="25">
        <f>IFERROR('Historical FS'!F18,0)</f>
        <v>0.12084898598410233</v>
      </c>
      <c r="G11" s="25">
        <f>IFERROR('Historical FS'!G18,0)</f>
        <v>0.11491069893032332</v>
      </c>
      <c r="H11" s="25">
        <f>IFERROR('Historical FS'!H18,0)</f>
        <v>9.171839734333094E-2</v>
      </c>
      <c r="I11" s="25">
        <f>IFERROR('Historical FS'!I18,0)</f>
        <v>0.11711988400571843</v>
      </c>
      <c r="J11" s="25">
        <f>IFERROR('Historical FS'!J18,0)</f>
        <v>0.12346456132497068</v>
      </c>
      <c r="K11" s="25">
        <f>IFERROR('Historical FS'!K18,0)</f>
        <v>0.14582228088133523</v>
      </c>
      <c r="L11" s="25">
        <f>IFERROR('Historical FS'!L18,0)</f>
        <v>0.16248346695316823</v>
      </c>
      <c r="M11" s="25">
        <f>IFERROR(AVERAGE(C11:L11),0)</f>
        <v>0.11382418303804438</v>
      </c>
      <c r="N11" s="25">
        <f>IFERROR(MEDIAN(C11:L11),0)</f>
        <v>0.11601529146802088</v>
      </c>
      <c r="O11" s="25"/>
      <c r="P11" s="25"/>
    </row>
    <row r="12" spans="2:16" x14ac:dyDescent="0.2">
      <c r="B12" t="s">
        <v>137</v>
      </c>
      <c r="C12" s="25">
        <f>IFERROR('Historical FS'!C27,0)</f>
        <v>3.6661632947165401E-2</v>
      </c>
      <c r="D12" s="25">
        <f>IFERROR('Historical FS'!D27,0)</f>
        <v>7.7465155061886989E-2</v>
      </c>
      <c r="E12" s="25">
        <f>IFERROR('Historical FS'!E27,0)</f>
        <v>7.7551129737663552E-2</v>
      </c>
      <c r="F12" s="25">
        <f>IFERROR('Historical FS'!F27,0)</f>
        <v>9.1351885029213264E-2</v>
      </c>
      <c r="G12" s="25">
        <f>IFERROR('Historical FS'!G27,0)</f>
        <v>8.5827477933475602E-2</v>
      </c>
      <c r="H12" s="25">
        <f>IFERROR('Historical FS'!H27,0)</f>
        <v>6.121745114309781E-2</v>
      </c>
      <c r="I12" s="25">
        <f>IFERROR('Historical FS'!I27,0)</f>
        <v>9.0258675879988731E-2</v>
      </c>
      <c r="J12" s="25">
        <f>IFERROR('Historical FS'!J27,0)</f>
        <v>9.880806068879866E-2</v>
      </c>
      <c r="K12" s="25">
        <f>IFERROR('Historical FS'!K27,0)</f>
        <v>0.12210752747680201</v>
      </c>
      <c r="L12" s="25">
        <f>IFERROR('Historical FS'!L27,0)</f>
        <v>0.13978593003828113</v>
      </c>
      <c r="M12" s="25">
        <f>IFERROR(AVERAGE(C12:L12),0)</f>
        <v>8.8103492593637311E-2</v>
      </c>
      <c r="N12" s="25">
        <f>IFERROR(MEDIAN(C12:L12),0)</f>
        <v>8.8043076906732159E-2</v>
      </c>
      <c r="O12" s="25"/>
      <c r="P12" s="25"/>
    </row>
    <row r="13" spans="2:16" x14ac:dyDescent="0.2">
      <c r="B13" t="s">
        <v>138</v>
      </c>
      <c r="C13" s="25">
        <f>IFERROR('Historical FS'!C30,0)</f>
        <v>3.1877727155285362E-2</v>
      </c>
      <c r="D13" s="25">
        <f>IFERROR('Historical FS'!D30,0)</f>
        <v>5.6766573338841136E-2</v>
      </c>
      <c r="E13" s="25">
        <f>IFERROR('Historical FS'!E30,0)</f>
        <v>4.4644367383118735E-2</v>
      </c>
      <c r="F13" s="25">
        <f>IFERROR('Historical FS'!F30,0)</f>
        <v>4.601653853642388E-2</v>
      </c>
      <c r="G13" s="25">
        <f>IFERROR('Historical FS'!G30,0)</f>
        <v>4.0438560266765344E-2</v>
      </c>
      <c r="H13" s="25">
        <f>IFERROR('Historical FS'!H30,0)</f>
        <v>2.2613138572245714E-2</v>
      </c>
      <c r="I13" s="25">
        <f>IFERROR('Historical FS'!I30,0)</f>
        <v>4.7477340175561489E-2</v>
      </c>
      <c r="J13" s="25">
        <f>IFERROR('Historical FS'!J30,0)</f>
        <v>4.9384174144545899E-2</v>
      </c>
      <c r="K13" s="25">
        <f>IFERROR('Historical FS'!K30,0)</f>
        <v>7.4629709308510164E-2</v>
      </c>
      <c r="L13" s="25">
        <f>IFERROR('Historical FS'!L30,0)</f>
        <v>0.10001708593189321</v>
      </c>
      <c r="M13" s="25">
        <f>IFERROR(AVERAGE(C13:L13),0)</f>
        <v>5.1386521481319093E-2</v>
      </c>
      <c r="N13" s="25">
        <f>IFERROR(MEDIAN(C13:L13),0)</f>
        <v>4.6746939355992681E-2</v>
      </c>
      <c r="O13" s="25"/>
      <c r="P13" s="25"/>
    </row>
    <row r="14" spans="2:16" x14ac:dyDescent="0.2">
      <c r="B14" s="21" t="s">
        <v>139</v>
      </c>
      <c r="C14" s="32">
        <f>IFERROR('Historical FS'!C36,0)</f>
        <v>4.1021871805447009E-2</v>
      </c>
      <c r="D14" s="32">
        <f>IFERROR('Historical FS'!D36,0)</f>
        <v>3.9922889796667742E-2</v>
      </c>
      <c r="E14" s="32">
        <f>IFERROR('Historical FS'!E36,0)</f>
        <v>3.4953886385856336E-2</v>
      </c>
      <c r="F14" s="32">
        <f>IFERROR('Historical FS'!F36,0)</f>
        <v>3.3137552515184902E-2</v>
      </c>
      <c r="G14" s="32">
        <f>IFERROR('Historical FS'!G36,0)</f>
        <v>3.0599119913577284E-2</v>
      </c>
      <c r="H14" s="32">
        <f>IFERROR('Historical FS'!H36,0)</f>
        <v>3.1074127161592278E-2</v>
      </c>
      <c r="I14" s="32">
        <f>IFERROR('Historical FS'!I36,0)</f>
        <v>4.1554713690721737E-2</v>
      </c>
      <c r="J14" s="32">
        <f>IFERROR('Historical FS'!J36,0)</f>
        <v>4.3486882788078642E-2</v>
      </c>
      <c r="K14" s="32">
        <f>IFERROR('Historical FS'!K36,0)</f>
        <v>5.0705606680667127E-2</v>
      </c>
      <c r="L14" s="32">
        <f>IFERROR('Historical FS'!L36,0)</f>
        <v>5.3831921514576907E-2</v>
      </c>
      <c r="M14" s="32">
        <f>IFERROR(AVERAGE(C14:L14),0)</f>
        <v>4.0028857225236997E-2</v>
      </c>
      <c r="N14" s="32">
        <f>IFERROR(MEDIAN(C14:L14),0)</f>
        <v>4.0472380801057375E-2</v>
      </c>
      <c r="O14" s="25"/>
      <c r="P14" s="25"/>
    </row>
    <row r="15" spans="2:16" x14ac:dyDescent="0.2">
      <c r="M15" s="25"/>
      <c r="N15" s="25"/>
      <c r="O15" s="25"/>
      <c r="P15" s="25"/>
    </row>
    <row r="16" spans="2:16" x14ac:dyDescent="0.2">
      <c r="B16" t="s">
        <v>140</v>
      </c>
      <c r="C16" s="25">
        <f>IFERROR('Historical FS'!C15,0)</f>
        <v>0.12640279491792256</v>
      </c>
      <c r="D16" s="25">
        <f>IFERROR('Historical FS'!D15,0)</f>
        <v>0.12498095194381971</v>
      </c>
      <c r="E16" s="25">
        <f>IFERROR('Historical FS'!E15,0)</f>
        <v>0.11502287451531473</v>
      </c>
      <c r="F16" s="25">
        <f>IFERROR('Historical FS'!F15,0)</f>
        <v>0.13061061651593611</v>
      </c>
      <c r="G16" s="25">
        <f>IFERROR('Historical FS'!G15,0)</f>
        <v>0.12026165733475723</v>
      </c>
      <c r="H16" s="25">
        <f>IFERROR('Historical FS'!H15,0)</f>
        <v>0.12035363130257837</v>
      </c>
      <c r="I16" s="25">
        <f>IFERROR('Historical FS'!I15,0)</f>
        <v>0.12096895007473261</v>
      </c>
      <c r="J16" s="25">
        <f>IFERROR('Historical FS'!J15,0)</f>
        <v>0.13993025058524214</v>
      </c>
      <c r="K16" s="25">
        <f>IFERROR('Historical FS'!K15,0)</f>
        <v>0.15295625826027848</v>
      </c>
      <c r="L16" s="25">
        <f>IFERROR('Historical FS'!L15,0)</f>
        <v>0.14190365817292533</v>
      </c>
      <c r="M16" s="25">
        <f>IFERROR(AVERAGE(C16:L16),0)</f>
        <v>0.12933916436235074</v>
      </c>
      <c r="N16" s="25">
        <f>IFERROR(MEDIAN(C16:L16),0)</f>
        <v>0.12569187343087113</v>
      </c>
      <c r="O16" s="25"/>
      <c r="P16" s="25"/>
    </row>
    <row r="17" spans="2:16" x14ac:dyDescent="0.2">
      <c r="B17" t="s">
        <v>101</v>
      </c>
      <c r="C17" s="25">
        <f>IFERROR('Historical FS'!C24,0)</f>
        <v>2.5421620814884829E-2</v>
      </c>
      <c r="D17" s="25">
        <f>IFERROR('Historical FS'!D24,0)</f>
        <v>2.2863787273756524E-2</v>
      </c>
      <c r="E17" s="25">
        <f>IFERROR('Historical FS'!E24,0)</f>
        <v>2.191022912213746E-2</v>
      </c>
      <c r="F17" s="25">
        <f>IFERROR('Historical FS'!F24,0)</f>
        <v>2.9497100954889062E-2</v>
      </c>
      <c r="G17" s="25">
        <f>IFERROR('Historical FS'!G24,0)</f>
        <v>2.9083220996847715E-2</v>
      </c>
      <c r="H17" s="25">
        <f>IFERROR('Historical FS'!H24,0)</f>
        <v>3.050094620023313E-2</v>
      </c>
      <c r="I17" s="25">
        <f>IFERROR('Historical FS'!I24,0)</f>
        <v>2.6861208125729695E-2</v>
      </c>
      <c r="J17" s="25">
        <f>IFERROR('Historical FS'!J24,0)</f>
        <v>2.4656500636172012E-2</v>
      </c>
      <c r="K17" s="25">
        <f>IFERROR('Historical FS'!K24,0)</f>
        <v>2.3714753404533235E-2</v>
      </c>
      <c r="L17" s="25">
        <f>IFERROR('Historical FS'!L24,0)</f>
        <v>2.2697536914887094E-2</v>
      </c>
      <c r="M17" s="25">
        <f>IFERROR(AVERAGE(C17:L17),0)</f>
        <v>2.5720690444407075E-2</v>
      </c>
      <c r="N17" s="25">
        <f>IFERROR(MEDIAN(C17:L17),0)</f>
        <v>2.503906072552842E-2</v>
      </c>
      <c r="O17" s="25"/>
      <c r="P17" s="25"/>
    </row>
    <row r="18" spans="2:16" x14ac:dyDescent="0.2">
      <c r="B18" s="21" t="s">
        <v>141</v>
      </c>
      <c r="C18" s="33">
        <f t="shared" ref="C18:L18" si="0">C12</f>
        <v>3.6661632947165401E-2</v>
      </c>
      <c r="D18" s="33">
        <f t="shared" si="0"/>
        <v>7.7465155061886989E-2</v>
      </c>
      <c r="E18" s="33">
        <f t="shared" si="0"/>
        <v>7.7551129737663552E-2</v>
      </c>
      <c r="F18" s="33">
        <f t="shared" si="0"/>
        <v>9.1351885029213264E-2</v>
      </c>
      <c r="G18" s="33">
        <f t="shared" si="0"/>
        <v>8.5827477933475602E-2</v>
      </c>
      <c r="H18" s="33">
        <f t="shared" si="0"/>
        <v>6.121745114309781E-2</v>
      </c>
      <c r="I18" s="33">
        <f t="shared" si="0"/>
        <v>9.0258675879988731E-2</v>
      </c>
      <c r="J18" s="33">
        <f t="shared" si="0"/>
        <v>9.880806068879866E-2</v>
      </c>
      <c r="K18" s="33">
        <f t="shared" si="0"/>
        <v>0.12210752747680201</v>
      </c>
      <c r="L18" s="33">
        <f t="shared" si="0"/>
        <v>0.13978593003828113</v>
      </c>
      <c r="M18" s="32">
        <f>IFERROR(AVERAGE(C18:L18),0)</f>
        <v>8.8103492593637311E-2</v>
      </c>
      <c r="N18" s="32">
        <f>IFERROR(MEDIAN(C18:L18),0)</f>
        <v>8.8043076906732159E-2</v>
      </c>
      <c r="O18" s="25"/>
      <c r="P18" s="25"/>
    </row>
    <row r="19" spans="2:16" x14ac:dyDescent="0.2">
      <c r="M19" s="25"/>
      <c r="N19" s="25"/>
      <c r="O19" s="25"/>
      <c r="P19" s="25"/>
    </row>
    <row r="20" spans="2:16" x14ac:dyDescent="0.2">
      <c r="B20" t="s">
        <v>142</v>
      </c>
      <c r="C20" s="25">
        <f>IFERROR('Historical FS'!C26/SUM('Historical FS'!C49:C51),0)</f>
        <v>0.12954939832824924</v>
      </c>
      <c r="D20" s="25">
        <f>IFERROR('Historical FS'!D26/SUM('Historical FS'!D49:D51),0)</f>
        <v>0.13178909580061499</v>
      </c>
      <c r="E20" s="25">
        <f>IFERROR('Historical FS'!E26/SUM('Historical FS'!E49:E51),0)</f>
        <v>0.12539319967084314</v>
      </c>
      <c r="F20" s="25">
        <f>IFERROR('Historical FS'!F26/SUM('Historical FS'!F49:F51),0)</f>
        <v>0.11577061293369774</v>
      </c>
      <c r="G20" s="25">
        <f>IFERROR('Historical FS'!G26/SUM('Historical FS'!G49:G51),0)</f>
        <v>0.10413994453250305</v>
      </c>
      <c r="H20" s="25">
        <f>IFERROR('Historical FS'!H26/SUM('Historical FS'!H49:H51),0)</f>
        <v>7.3713109331941196E-2</v>
      </c>
      <c r="I20" s="25">
        <f>IFERROR('Historical FS'!I26/SUM('Historical FS'!I49:I51),0)</f>
        <v>0.10351040042925939</v>
      </c>
      <c r="J20" s="25">
        <f>IFERROR('Historical FS'!J26/SUM('Historical FS'!J49:J51),0)</f>
        <v>0.11685734423000736</v>
      </c>
      <c r="K20" s="25">
        <f>IFERROR('Historical FS'!K26/SUM('Historical FS'!K49:K51),0)</f>
        <v>0.14506323949958083</v>
      </c>
      <c r="L20" s="25">
        <f>IFERROR('Historical FS'!L26/SUM('Historical FS'!L49:L51),0)</f>
        <v>0.18504738254469466</v>
      </c>
      <c r="M20" s="25">
        <f>IFERROR(AVERAGE(C20:L20),0)</f>
        <v>0.12308337273013917</v>
      </c>
      <c r="N20" s="25">
        <f>IFERROR(MEDIAN(C20:L20),0)</f>
        <v>0.12112527195042525</v>
      </c>
      <c r="O20" s="25"/>
      <c r="P20" s="25"/>
    </row>
    <row r="21" spans="2:16" x14ac:dyDescent="0.2">
      <c r="B21" t="s">
        <v>143</v>
      </c>
      <c r="C21" s="25">
        <f>IFERROR('Historical FS'!C46,0)</f>
        <v>0.76766293717236522</v>
      </c>
      <c r="D21" s="25">
        <f>IFERROR('Historical FS'!D46,0)</f>
        <v>0.75966888939986199</v>
      </c>
      <c r="E21" s="25">
        <f>IFERROR('Historical FS'!E46,0)</f>
        <v>0.76403139057998781</v>
      </c>
      <c r="F21" s="25">
        <f>IFERROR('Historical FS'!F46,0)</f>
        <v>0.73379014440779988</v>
      </c>
      <c r="G21" s="25">
        <f>IFERROR('Historical FS'!G46,0)</f>
        <v>0.7201898159054958</v>
      </c>
      <c r="H21" s="25">
        <f>IFERROR('Historical FS'!H46,0)</f>
        <v>0.76459395893343207</v>
      </c>
      <c r="I21" s="25">
        <f>IFERROR('Historical FS'!I46,0)</f>
        <v>0.82121218963324227</v>
      </c>
      <c r="J21" s="25">
        <f>IFERROR('Historical FS'!J46,0)</f>
        <v>0.77461648392701488</v>
      </c>
      <c r="K21" s="25">
        <f>IFERROR('Historical FS'!K46,0)</f>
        <v>0.78748054178818727</v>
      </c>
      <c r="L21" s="25">
        <f>IFERROR('Historical FS'!L46,0)</f>
        <v>0.81111409289242731</v>
      </c>
      <c r="M21" s="25">
        <f>IFERROR(AVERAGE(C21:L21),0)</f>
        <v>0.7704360444639814</v>
      </c>
      <c r="N21" s="25">
        <f>IFERROR(MEDIAN(C21:L21),0)</f>
        <v>0.7661284480528987</v>
      </c>
      <c r="O21" s="25"/>
      <c r="P21" s="25"/>
    </row>
    <row r="22" spans="2:16" x14ac:dyDescent="0.2">
      <c r="B22" t="s">
        <v>144</v>
      </c>
      <c r="C22" s="25">
        <f>IFERROR('Historical FS'!C35/SUM('Historical FS'!C49:C50),0)</f>
        <v>0.23069980686269198</v>
      </c>
      <c r="D22" s="25">
        <f>IFERROR('Historical FS'!D35/SUM('Historical FS'!D49:D50),0)</f>
        <v>0.24366875840430299</v>
      </c>
      <c r="E22" s="25">
        <f>IFERROR('Historical FS'!E35/SUM('Historical FS'!E49:E50),0)</f>
        <v>0.22228145493774781</v>
      </c>
      <c r="F22" s="25">
        <f>IFERROR('Historical FS'!F35/SUM('Historical FS'!F49:F50),0)</f>
        <v>0.19031108131988664</v>
      </c>
      <c r="G22" s="25">
        <f>IFERROR('Historical FS'!G35/SUM('Historical FS'!G49:G50),0)</f>
        <v>0.15529672477728329</v>
      </c>
      <c r="H22" s="25">
        <f>IFERROR('Historical FS'!H35/SUM('Historical FS'!H49:H50),0)</f>
        <v>0.17202604871063432</v>
      </c>
      <c r="I22" s="25">
        <f>IFERROR('Historical FS'!I35/SUM('Historical FS'!I49:I50),0)</f>
        <v>0.24135694822888284</v>
      </c>
      <c r="J22" s="25">
        <f>IFERROR('Historical FS'!J35/SUM('Historical FS'!J49:J50),0)</f>
        <v>0.24859843945096269</v>
      </c>
      <c r="K22" s="25">
        <f>IFERROR('Historical FS'!K35/SUM('Historical FS'!K49:K50),0)</f>
        <v>0.26290251641112117</v>
      </c>
      <c r="L22" s="25">
        <f>IFERROR('Historical FS'!L35/SUM('Historical FS'!L49:L50),0)</f>
        <v>0.31558459889693391</v>
      </c>
      <c r="M22" s="25">
        <f>IFERROR(AVERAGE(C22:L22),0)</f>
        <v>0.22827263780004473</v>
      </c>
      <c r="N22" s="25">
        <f>IFERROR(MEDIAN(C22:L22),0)</f>
        <v>0.23602837754578743</v>
      </c>
      <c r="O22" s="25"/>
      <c r="P22" s="25"/>
    </row>
    <row r="23" spans="2:16" x14ac:dyDescent="0.2">
      <c r="B23" t="s">
        <v>145</v>
      </c>
      <c r="C23" s="25">
        <f t="shared" ref="C23:L23" si="1">IFERROR(C21*C22,0)</f>
        <v>0.17709969134131151</v>
      </c>
      <c r="D23" s="25">
        <f t="shared" si="1"/>
        <v>0.18510757507844014</v>
      </c>
      <c r="E23" s="25">
        <f t="shared" si="1"/>
        <v>0.16983000911623036</v>
      </c>
      <c r="F23" s="25">
        <f t="shared" si="1"/>
        <v>0.13964839584412417</v>
      </c>
      <c r="G23" s="25">
        <f t="shared" si="1"/>
        <v>0.11184311962807811</v>
      </c>
      <c r="H23" s="25">
        <f t="shared" si="1"/>
        <v>0.13153007762333932</v>
      </c>
      <c r="I23" s="25">
        <f t="shared" si="1"/>
        <v>0.19820526793823798</v>
      </c>
      <c r="J23" s="25">
        <f t="shared" si="1"/>
        <v>0.19256844907724763</v>
      </c>
      <c r="K23" s="25">
        <f t="shared" si="1"/>
        <v>0.2070306160609075</v>
      </c>
      <c r="L23" s="25">
        <f t="shared" si="1"/>
        <v>0.25597511566510706</v>
      </c>
      <c r="M23" s="25">
        <f>IFERROR(AVERAGE(C23:L23),0)</f>
        <v>0.17688383173730238</v>
      </c>
      <c r="N23" s="25">
        <f>IFERROR(MEDIAN(C23:L23),0)</f>
        <v>0.18110363320987583</v>
      </c>
      <c r="O23" s="25"/>
      <c r="P23" s="25"/>
    </row>
    <row r="24" spans="2:16" x14ac:dyDescent="0.2">
      <c r="B24" s="21" t="s">
        <v>146</v>
      </c>
      <c r="C24" s="34">
        <f>IFERROR('Historical FS'!C26/'Historical FS'!C20,0)</f>
        <v>7.6635357262663968</v>
      </c>
      <c r="D24" s="34">
        <f>IFERROR('Historical FS'!D26/'Historical FS'!D20,0)</f>
        <v>3.7425344450357718</v>
      </c>
      <c r="E24" s="34">
        <f>IFERROR('Historical FS'!E26/'Historical FS'!E20,0)</f>
        <v>2.3566927946940006</v>
      </c>
      <c r="F24" s="34">
        <f>IFERROR('Historical FS'!F26/'Historical FS'!F20,0)</f>
        <v>2.0150256278231566</v>
      </c>
      <c r="G24" s="34">
        <f>IFERROR('Historical FS'!G26/'Historical FS'!G20,0)</f>
        <v>1.8909346674380896</v>
      </c>
      <c r="H24" s="34">
        <f>IFERROR('Historical FS'!H26/'Historical FS'!H20,0)</f>
        <v>1.5857671608772432</v>
      </c>
      <c r="I24" s="34">
        <f>IFERROR('Historical FS'!I26/'Historical FS'!I20,0)</f>
        <v>2.1097675982717914</v>
      </c>
      <c r="J24" s="34">
        <f>IFERROR('Historical FS'!J26/'Historical FS'!J20,0)</f>
        <v>1.9991964937910882</v>
      </c>
      <c r="K24" s="34">
        <f>IFERROR('Historical FS'!K26/'Historical FS'!K20,0)</f>
        <v>2.5718858234802333</v>
      </c>
      <c r="L24" s="34">
        <f>IFERROR('Historical FS'!L26/'Historical FS'!L20,0)</f>
        <v>3.5149608488577568</v>
      </c>
      <c r="M24" s="34">
        <f>IFERROR(AVERAGE(C24:L24),0)</f>
        <v>2.9450301186535528</v>
      </c>
      <c r="N24" s="34">
        <f>IFERROR(MEDIAN(C24:L24),0)</f>
        <v>2.233230196482896</v>
      </c>
      <c r="O24" s="35"/>
      <c r="P24" s="35"/>
    </row>
    <row r="25" spans="2:16" x14ac:dyDescent="0.2">
      <c r="M25" s="25"/>
      <c r="N25" s="25"/>
      <c r="O25" s="35"/>
      <c r="P25" s="35"/>
    </row>
    <row r="26" spans="2:16" x14ac:dyDescent="0.2">
      <c r="B26" t="s">
        <v>147</v>
      </c>
      <c r="C26" s="35">
        <f>IFERROR('Historical FS'!C5/'Historical FS'!C61,0)</f>
        <v>17.757826192274266</v>
      </c>
      <c r="D26" s="35">
        <f>IFERROR('Historical FS'!D5/'Historical FS'!D61,0)</f>
        <v>15.258712460779918</v>
      </c>
      <c r="E26" s="35">
        <f>IFERROR('Historical FS'!E5/'Historical FS'!E61,0)</f>
        <v>13.039506620010739</v>
      </c>
      <c r="F26" s="35">
        <f>IFERROR('Historical FS'!F5/'Historical FS'!F61,0)</f>
        <v>12.96055309551968</v>
      </c>
      <c r="G26" s="35">
        <f>IFERROR('Historical FS'!G5/'Historical FS'!G61,0)</f>
        <v>18.868721217185161</v>
      </c>
      <c r="H26" s="35">
        <f>IFERROR('Historical FS'!H5/'Historical FS'!H61,0)</f>
        <v>20.687428862651831</v>
      </c>
      <c r="I26" s="35">
        <f>IFERROR('Historical FS'!I5/'Historical FS'!I61,0)</f>
        <v>25.448488562741758</v>
      </c>
      <c r="J26" s="35">
        <f>IFERROR('Historical FS'!J5/'Historical FS'!J61,0)</f>
        <v>21.082091093931783</v>
      </c>
      <c r="K26" s="35">
        <f>IFERROR('Historical FS'!K5/'Historical FS'!K61,0)</f>
        <v>25.681671763506628</v>
      </c>
      <c r="L26" s="35">
        <f>IFERROR('Historical FS'!L5/'Historical FS'!L61,0)</f>
        <v>21.125385719614336</v>
      </c>
      <c r="M26" s="35">
        <f>IFERROR(AVERAGE(C26:L26),0)</f>
        <v>19.19103855882161</v>
      </c>
      <c r="N26" s="35">
        <f>IFERROR(MEDIAN(C26:L26),0)</f>
        <v>19.778075039918498</v>
      </c>
      <c r="O26" s="35"/>
      <c r="P26" s="35"/>
    </row>
    <row r="27" spans="2:16" x14ac:dyDescent="0.2">
      <c r="B27" t="s">
        <v>148</v>
      </c>
      <c r="C27" s="35">
        <f>IFERROR('Historical FS'!C5/'Historical FS'!C52,0)</f>
        <v>4.7912514609091472</v>
      </c>
      <c r="D27" s="35">
        <f>IFERROR('Historical FS'!D5/'Historical FS'!D52,0)</f>
        <v>4.5572379209942104</v>
      </c>
      <c r="E27" s="35">
        <f>IFERROR('Historical FS'!E5/'Historical FS'!E52,0)</f>
        <v>4.7679050770173141</v>
      </c>
      <c r="F27" s="35">
        <f>IFERROR('Historical FS'!F5/'Historical FS'!F52,0)</f>
        <v>4.2852781099526673</v>
      </c>
      <c r="G27" s="35">
        <f>IFERROR('Historical FS'!G5/'Historical FS'!G52,0)</f>
        <v>3.3145290393050364</v>
      </c>
      <c r="H27" s="35">
        <f>IFERROR('Historical FS'!H5/'Historical FS'!H52,0)</f>
        <v>3.639227247461315</v>
      </c>
      <c r="I27" s="35">
        <f>IFERROR('Historical FS'!I5/'Historical FS'!I52,0)</f>
        <v>4.4756675569292099</v>
      </c>
      <c r="J27" s="35">
        <f>IFERROR('Historical FS'!J5/'Historical FS'!J52,0)</f>
        <v>4.1992097275628355</v>
      </c>
      <c r="K27" s="35">
        <f>IFERROR('Historical FS'!K5/'Historical FS'!K52,0)</f>
        <v>4.1834943257296855</v>
      </c>
      <c r="L27" s="35">
        <f>IFERROR('Historical FS'!L5/'Historical FS'!L52,0)</f>
        <v>4.0658488973456812</v>
      </c>
      <c r="M27" s="35">
        <f>IFERROR(AVERAGE(C27:L27),0)</f>
        <v>4.2279649363207099</v>
      </c>
      <c r="N27" s="35">
        <f>IFERROR(MEDIAN(C27:L27),0)</f>
        <v>4.242243918757751</v>
      </c>
      <c r="O27" s="35"/>
      <c r="P27" s="35"/>
    </row>
    <row r="28" spans="2:16" x14ac:dyDescent="0.2">
      <c r="B28" t="s">
        <v>149</v>
      </c>
      <c r="C28" s="35">
        <f>IFERROR('Historical FS'!C5/'Historical FS'!C55,0)</f>
        <v>5.2761657197530969</v>
      </c>
      <c r="D28" s="35">
        <f>IFERROR('Historical FS'!D5/'Historical FS'!D55,0)</f>
        <v>5.2815262536968506</v>
      </c>
      <c r="E28" s="35">
        <f>IFERROR('Historical FS'!E5/'Historical FS'!E55,0)</f>
        <v>5.9878786978733514</v>
      </c>
      <c r="F28" s="35">
        <f>IFERROR('Historical FS'!F5/'Historical FS'!F55,0)</f>
        <v>4.9464296492236315</v>
      </c>
      <c r="G28" s="35">
        <f>IFERROR('Historical FS'!G5/'Historical FS'!G55,0)</f>
        <v>4.6009452624347018</v>
      </c>
      <c r="H28" s="35">
        <f>IFERROR('Historical FS'!H5/'Historical FS'!H55,0)</f>
        <v>4.0764481207235921</v>
      </c>
      <c r="I28" s="35">
        <f>IFERROR('Historical FS'!I5/'Historical FS'!I55,0)</f>
        <v>5.5625997080738969</v>
      </c>
      <c r="J28" s="35">
        <f>IFERROR('Historical FS'!J5/'Historical FS'!J55,0)</f>
        <v>6.5829239392817982</v>
      </c>
      <c r="K28" s="35">
        <f>IFERROR('Historical FS'!K5/'Historical FS'!K55,0)</f>
        <v>5.7674535120250647</v>
      </c>
      <c r="L28" s="35">
        <f>IFERROR('Historical FS'!L5/'Historical FS'!L55,0)</f>
        <v>6.4940751336294502</v>
      </c>
      <c r="M28" s="35">
        <f>IFERROR(AVERAGE(C28:L28),0)</f>
        <v>5.4576445996715437</v>
      </c>
      <c r="N28" s="35">
        <f>IFERROR(MEDIAN(C28:L28),0)</f>
        <v>5.4220629808853733</v>
      </c>
      <c r="O28" s="35"/>
      <c r="P28" s="35"/>
    </row>
    <row r="29" spans="2:16" x14ac:dyDescent="0.2">
      <c r="B29" s="21" t="s">
        <v>150</v>
      </c>
      <c r="C29" s="34">
        <f>IFERROR('Historical FS'!C5/SUM('Historical FS'!C49:C50),0)</f>
        <v>5.6238244797025319</v>
      </c>
      <c r="D29" s="34">
        <f>IFERROR('Historical FS'!D5/SUM('Historical FS'!D49:D50),0)</f>
        <v>6.103484984311967</v>
      </c>
      <c r="E29" s="34">
        <f>IFERROR('Historical FS'!E5/SUM('Historical FS'!E49:E50),0)</f>
        <v>6.3592772627335448</v>
      </c>
      <c r="F29" s="34">
        <f>IFERROR('Historical FS'!F5/SUM('Historical FS'!F49:F50),0)</f>
        <v>5.7430638920203529</v>
      </c>
      <c r="G29" s="34">
        <f>IFERROR('Historical FS'!G5/SUM('Historical FS'!G49:G50),0)</f>
        <v>5.0752023331355947</v>
      </c>
      <c r="H29" s="34">
        <f>IFERROR('Historical FS'!H5/SUM('Historical FS'!H49:H50),0)</f>
        <v>5.5359897259884763</v>
      </c>
      <c r="I29" s="34">
        <f>IFERROR('Historical FS'!I5/SUM('Historical FS'!I49:I50),0)</f>
        <v>5.8081725703905542</v>
      </c>
      <c r="J29" s="34">
        <f>IFERROR('Historical FS'!J5/SUM('Historical FS'!J49:J50),0)</f>
        <v>5.7166304759630338</v>
      </c>
      <c r="K29" s="34">
        <f>IFERROR('Historical FS'!K5/SUM('Historical FS'!K49:K50),0)</f>
        <v>5.184880600420068</v>
      </c>
      <c r="L29" s="34">
        <f>IFERROR('Historical FS'!L5/SUM('Historical FS'!L49:L50),0)</f>
        <v>5.8624063570065603</v>
      </c>
      <c r="M29" s="34">
        <f>IFERROR(AVERAGE(C29:L29),0)</f>
        <v>5.7012932681672686</v>
      </c>
      <c r="N29" s="34">
        <f>IFERROR(MEDIAN(C29:L29),0)</f>
        <v>5.7298471839916933</v>
      </c>
      <c r="O29" s="35"/>
      <c r="P29" s="35"/>
    </row>
    <row r="30" spans="2:16" x14ac:dyDescent="0.2">
      <c r="M30" s="25"/>
      <c r="N30" s="25"/>
    </row>
    <row r="31" spans="2:16" x14ac:dyDescent="0.2">
      <c r="M31" s="25"/>
      <c r="N31" s="25"/>
    </row>
    <row r="32" spans="2:16" x14ac:dyDescent="0.2">
      <c r="B32" t="s">
        <v>151</v>
      </c>
      <c r="C32" s="36">
        <f t="shared" ref="C32:L32" si="2">IFERROR(365/C26,0)</f>
        <v>20.55431763144507</v>
      </c>
      <c r="D32" s="36">
        <f t="shared" si="2"/>
        <v>23.920760086289992</v>
      </c>
      <c r="E32" s="36">
        <f t="shared" si="2"/>
        <v>27.991856642786029</v>
      </c>
      <c r="F32" s="36">
        <f t="shared" si="2"/>
        <v>28.162378357616269</v>
      </c>
      <c r="G32" s="36">
        <f t="shared" si="2"/>
        <v>19.344183201327237</v>
      </c>
      <c r="H32" s="36">
        <f t="shared" si="2"/>
        <v>17.643565202003177</v>
      </c>
      <c r="I32" s="36">
        <f t="shared" si="2"/>
        <v>14.342698549664899</v>
      </c>
      <c r="J32" s="36">
        <f t="shared" si="2"/>
        <v>17.313273070196566</v>
      </c>
      <c r="K32" s="36">
        <f t="shared" si="2"/>
        <v>14.212470409292473</v>
      </c>
      <c r="L32" s="36">
        <f t="shared" si="2"/>
        <v>17.277791035129248</v>
      </c>
      <c r="M32" s="36">
        <f>IFERROR(AVERAGE(C32:L32),0)</f>
        <v>20.076329418575096</v>
      </c>
      <c r="N32" s="36">
        <f>IFERROR(MEDIAN(C32:L32),0)</f>
        <v>18.493874201665207</v>
      </c>
      <c r="O32" s="36"/>
      <c r="P32" s="36"/>
    </row>
    <row r="33" spans="2:16" x14ac:dyDescent="0.2">
      <c r="B33" t="s">
        <v>152</v>
      </c>
      <c r="C33" s="36">
        <f t="shared" ref="C33:L33" si="3">IFERROR(365/C27,0)</f>
        <v>76.18051420969266</v>
      </c>
      <c r="D33" s="36">
        <f t="shared" si="3"/>
        <v>80.092373127706125</v>
      </c>
      <c r="E33" s="36">
        <f t="shared" si="3"/>
        <v>76.553537476953124</v>
      </c>
      <c r="F33" s="36">
        <f t="shared" si="3"/>
        <v>85.175335330577084</v>
      </c>
      <c r="G33" s="36">
        <f t="shared" si="3"/>
        <v>110.12122557131985</v>
      </c>
      <c r="H33" s="36">
        <f t="shared" si="3"/>
        <v>100.29601758302398</v>
      </c>
      <c r="I33" s="36">
        <f t="shared" si="3"/>
        <v>81.552080300269068</v>
      </c>
      <c r="J33" s="36">
        <f t="shared" si="3"/>
        <v>86.921116991182302</v>
      </c>
      <c r="K33" s="36">
        <f t="shared" si="3"/>
        <v>87.247638357041794</v>
      </c>
      <c r="L33" s="36">
        <f t="shared" si="3"/>
        <v>89.772150715754321</v>
      </c>
      <c r="M33" s="36">
        <f>IFERROR(AVERAGE(C33:L33),0)</f>
        <v>87.391198966352022</v>
      </c>
      <c r="N33" s="36">
        <f>IFERROR(MEDIAN(C33:L33),0)</f>
        <v>86.048226160879693</v>
      </c>
      <c r="O33" s="36"/>
      <c r="P33" s="36"/>
    </row>
    <row r="34" spans="2:16" x14ac:dyDescent="0.2">
      <c r="B34" t="s">
        <v>153</v>
      </c>
      <c r="C34" s="36">
        <f>IFERROR('Historical FS'!C62/'Historical FS'!C8*365,0)</f>
        <v>41.931589079644326</v>
      </c>
      <c r="D34" s="36">
        <f>IFERROR('Historical FS'!D62/'Historical FS'!D8*365,0)</f>
        <v>30.453117754448943</v>
      </c>
      <c r="E34" s="36">
        <f>IFERROR('Historical FS'!E62/'Historical FS'!E8*365,0)</f>
        <v>29.769092428070486</v>
      </c>
      <c r="F34" s="36">
        <f>IFERROR('Historical FS'!F62/'Historical FS'!F8*365,0)</f>
        <v>30.744709050021012</v>
      </c>
      <c r="G34" s="36">
        <f>IFERROR('Historical FS'!G62/'Historical FS'!G8*365,0)</f>
        <v>33.602131607329689</v>
      </c>
      <c r="H34" s="36">
        <f>IFERROR('Historical FS'!H62/'Historical FS'!H8*365,0)</f>
        <v>31.237843423450371</v>
      </c>
      <c r="I34" s="36">
        <f>IFERROR('Historical FS'!I62/'Historical FS'!I8*365,0)</f>
        <v>28.789514451996482</v>
      </c>
      <c r="J34" s="36">
        <f>IFERROR('Historical FS'!J62/'Historical FS'!J8*365,0)</f>
        <v>28.730096048686701</v>
      </c>
      <c r="K34" s="36">
        <f>IFERROR('Historical FS'!K62/'Historical FS'!K8*365,0)</f>
        <v>28.530441684866425</v>
      </c>
      <c r="L34" s="36">
        <f>IFERROR('Historical FS'!L62/'Historical FS'!L8*365,0)</f>
        <v>23.01400826814978</v>
      </c>
      <c r="M34" s="36">
        <f>IFERROR(AVERAGE(C34:L34),0)</f>
        <v>30.680254379666415</v>
      </c>
      <c r="N34" s="36">
        <f>IFERROR(MEDIAN(C34:L34),0)</f>
        <v>30.111105091259716</v>
      </c>
      <c r="O34" s="36"/>
      <c r="P34" s="36"/>
    </row>
    <row r="35" spans="2:16" x14ac:dyDescent="0.2">
      <c r="B35" s="21" t="s">
        <v>154</v>
      </c>
      <c r="C35" s="37">
        <f t="shared" ref="C35:N35" si="4">IFERROR(C32+C34-C33,0)</f>
        <v>-13.694607498603261</v>
      </c>
      <c r="D35" s="37">
        <f t="shared" si="4"/>
        <v>-25.71849528696719</v>
      </c>
      <c r="E35" s="37">
        <f t="shared" si="4"/>
        <v>-18.792588406096613</v>
      </c>
      <c r="F35" s="37">
        <f t="shared" si="4"/>
        <v>-26.268247922939807</v>
      </c>
      <c r="G35" s="37">
        <f t="shared" si="4"/>
        <v>-57.174910762662932</v>
      </c>
      <c r="H35" s="37">
        <f t="shared" si="4"/>
        <v>-51.414608957570437</v>
      </c>
      <c r="I35" s="37">
        <f t="shared" si="4"/>
        <v>-38.419867298607684</v>
      </c>
      <c r="J35" s="37">
        <f t="shared" si="4"/>
        <v>-40.877747872299039</v>
      </c>
      <c r="K35" s="37">
        <f t="shared" si="4"/>
        <v>-44.504726262882897</v>
      </c>
      <c r="L35" s="37">
        <f t="shared" si="4"/>
        <v>-49.480351412475294</v>
      </c>
      <c r="M35" s="37">
        <f t="shared" si="4"/>
        <v>-36.634615168110514</v>
      </c>
      <c r="N35" s="37">
        <f t="shared" si="4"/>
        <v>-37.44324686795477</v>
      </c>
      <c r="O35" s="36"/>
      <c r="P35" s="36"/>
    </row>
    <row r="36" spans="2:16" x14ac:dyDescent="0.2">
      <c r="M36" s="25"/>
      <c r="N36" s="25"/>
    </row>
    <row r="37" spans="2:16" x14ac:dyDescent="0.2">
      <c r="B37" t="s">
        <v>155</v>
      </c>
      <c r="C37" s="25">
        <f>IFERROR('Historical FS'!C80/'Historical FS'!C5,0)</f>
        <v>5.5285325236587489E-2</v>
      </c>
      <c r="D37" s="25">
        <f>IFERROR('Historical FS'!D80/'Historical FS'!D5,0)</f>
        <v>2.1725493795994553E-2</v>
      </c>
      <c r="E37" s="25">
        <f>IFERROR('Historical FS'!E80/'Historical FS'!E5,0)</f>
        <v>-4.5535736872885348E-2</v>
      </c>
      <c r="F37" s="25">
        <f>IFERROR('Historical FS'!F80/'Historical FS'!F5,0)</f>
        <v>1.9735470423055273E-2</v>
      </c>
      <c r="G37" s="25">
        <f>IFERROR('Historical FS'!G80/'Historical FS'!G5,0)</f>
        <v>5.9266292566431282E-2</v>
      </c>
      <c r="H37" s="25">
        <f>IFERROR('Historical FS'!H80/'Historical FS'!H5,0)</f>
        <v>-6.4708681597565376E-2</v>
      </c>
      <c r="I37" s="25">
        <f>IFERROR('Historical FS'!I80/'Historical FS'!I5,0)</f>
        <v>-0.13776822973923492</v>
      </c>
      <c r="J37" s="25">
        <f>IFERROR('Historical FS'!J80/'Historical FS'!J5,0)</f>
        <v>-3.2285665216218541E-2</v>
      </c>
      <c r="K37" s="25">
        <f>IFERROR('Historical FS'!K80/'Historical FS'!K5,0)</f>
        <v>7.9430225355479736E-2</v>
      </c>
      <c r="L37" s="25">
        <f>IFERROR('Historical FS'!L80/'Historical FS'!L5,0)</f>
        <v>3.3280113687436601E-2</v>
      </c>
      <c r="M37" s="25">
        <f>IFERROR(AVERAGE(C37:L37),0)</f>
        <v>-1.1575392360919251E-3</v>
      </c>
      <c r="N37" s="25">
        <f>IFERROR(MEDIAN(C37:L37),0)</f>
        <v>2.0730482109524911E-2</v>
      </c>
      <c r="O37" s="25"/>
      <c r="P37" s="25"/>
    </row>
    <row r="38" spans="2:16" x14ac:dyDescent="0.2">
      <c r="B38" t="s">
        <v>156</v>
      </c>
      <c r="C38" s="25">
        <f>IFERROR('Historical FS'!C80/'Historical FS'!C66,0)</f>
        <v>0.11243545976148668</v>
      </c>
      <c r="D38" s="25">
        <f>IFERROR('Historical FS'!D80/'Historical FS'!D66,0)</f>
        <v>2.6913716898023549E-2</v>
      </c>
      <c r="E38" s="25">
        <f>IFERROR('Historical FS'!E80/'Historical FS'!E66,0)</f>
        <v>-5.498161589651477E-2</v>
      </c>
      <c r="F38" s="25">
        <f>IFERROR('Historical FS'!F80/'Historical FS'!F66,0)</f>
        <v>1.9302444924468809E-2</v>
      </c>
      <c r="G38" s="25">
        <f>IFERROR('Historical FS'!G80/'Historical FS'!G66,0)</f>
        <v>5.2641038880735347E-2</v>
      </c>
      <c r="H38" s="25">
        <f>IFERROR('Historical FS'!H80/'Historical FS'!H66,0)</f>
        <v>-5.8545790906828238E-2</v>
      </c>
      <c r="I38" s="25">
        <f>IFERROR('Historical FS'!I80/'Historical FS'!I66,0)</f>
        <v>-0.12576896084859357</v>
      </c>
      <c r="J38" s="25">
        <f>IFERROR('Historical FS'!J80/'Historical FS'!J66,0)</f>
        <v>-2.9792499524081476E-2</v>
      </c>
      <c r="K38" s="25">
        <f>IFERROR('Historical FS'!K80/'Historical FS'!K66,0)</f>
        <v>7.349285606207985E-2</v>
      </c>
      <c r="L38" s="25">
        <f>IFERROR('Historical FS'!L80/'Historical FS'!L66,0)</f>
        <v>3.3235005686997492E-2</v>
      </c>
      <c r="M38" s="25">
        <f>IFERROR(AVERAGE(C38:L38),0)</f>
        <v>4.8931655037773702E-3</v>
      </c>
      <c r="N38" s="25">
        <f>IFERROR(MEDIAN(C38:L38),0)</f>
        <v>2.3108080911246179E-2</v>
      </c>
      <c r="O38" s="25"/>
      <c r="P38" s="25"/>
    </row>
    <row r="39" spans="2:16" x14ac:dyDescent="0.2">
      <c r="B39" s="21" t="s">
        <v>157</v>
      </c>
      <c r="C39" s="32">
        <f>IFERROR('Historical FS'!C80/'Historical FS'!C51,0)</f>
        <v>0.52563320109856582</v>
      </c>
      <c r="D39" s="32">
        <f>IFERROR('Historical FS'!D80/'Historical FS'!D51,0)</f>
        <v>5.1244742000767951E-2</v>
      </c>
      <c r="E39" s="32">
        <f>IFERROR('Historical FS'!E80/'Historical FS'!E51,0)</f>
        <v>-9.8730378950425093E-2</v>
      </c>
      <c r="F39" s="32">
        <f>IFERROR('Historical FS'!F80/'Historical FS'!F51,0)</f>
        <v>3.2092619991459223E-2</v>
      </c>
      <c r="G39" s="32">
        <f>IFERROR('Historical FS'!G80/'Historical FS'!G51,0)</f>
        <v>9.450569661618699E-2</v>
      </c>
      <c r="H39" s="32">
        <f>IFERROR('Historical FS'!H80/'Historical FS'!H51,0)</f>
        <v>-9.9575351562277883E-2</v>
      </c>
      <c r="I39" s="32">
        <f>IFERROR('Historical FS'!I80/'Historical FS'!I51,0)</f>
        <v>-0.19686640525072421</v>
      </c>
      <c r="J39" s="32">
        <f>IFERROR('Historical FS'!J80/'Historical FS'!J51,0)</f>
        <v>-4.8143291662981577E-2</v>
      </c>
      <c r="K39" s="32">
        <f>IFERROR('Historical FS'!K80/'Historical FS'!K51,0)</f>
        <v>0.12241027295533424</v>
      </c>
      <c r="L39" s="32">
        <f>IFERROR('Historical FS'!L80/'Historical FS'!L51,0)</f>
        <v>5.6905840960677939E-2</v>
      </c>
      <c r="M39" s="32">
        <f>IFERROR(AVERAGE(C39:L39),0)</f>
        <v>4.3947694619658348E-2</v>
      </c>
      <c r="N39" s="32">
        <f>IFERROR(MEDIAN(C39:L39),0)</f>
        <v>4.1668680996113587E-2</v>
      </c>
      <c r="O39" s="25"/>
      <c r="P39" s="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6"/>
  <sheetViews>
    <sheetView showGridLines="0" zoomScaleNormal="100" workbookViewId="0">
      <selection activeCell="I4" sqref="I4"/>
    </sheetView>
  </sheetViews>
  <sheetFormatPr baseColWidth="10" defaultColWidth="10.6640625" defaultRowHeight="15" x14ac:dyDescent="0.2"/>
  <cols>
    <col min="1" max="1" width="2" customWidth="1"/>
    <col min="2" max="2" width="20.1640625" customWidth="1"/>
  </cols>
  <sheetData>
    <row r="1" spans="2:12" x14ac:dyDescent="0.2">
      <c r="B1" s="66" t="str">
        <f>"Drivers -  "&amp; 'Data Sheet'!B1</f>
        <v>Drivers -  TVS MOTOR COMPANY LTD</v>
      </c>
      <c r="C1" s="66"/>
      <c r="D1" s="66"/>
      <c r="E1" s="66"/>
      <c r="F1" s="66"/>
      <c r="G1" s="66"/>
      <c r="H1" s="66"/>
      <c r="I1" s="66"/>
      <c r="J1" s="12"/>
      <c r="K1" s="12"/>
      <c r="L1" s="12"/>
    </row>
    <row r="2" spans="2:12" x14ac:dyDescent="0.2">
      <c r="B2" s="13" t="s">
        <v>55</v>
      </c>
      <c r="C2" s="30">
        <f>IFERROR('Historical FS'!H3,0)</f>
        <v>22</v>
      </c>
      <c r="D2" s="30">
        <f>IFERROR('Historical FS'!I3,0)</f>
        <v>23</v>
      </c>
      <c r="E2" s="30">
        <f>IFERROR('Historical FS'!J3,0)</f>
        <v>24</v>
      </c>
      <c r="F2" s="30">
        <f>IFERROR('Historical FS'!K3,0)</f>
        <v>25</v>
      </c>
      <c r="G2" s="30">
        <f>IFERROR('Historical FS'!L3,0)</f>
        <v>26</v>
      </c>
      <c r="H2" s="31" t="s">
        <v>158</v>
      </c>
      <c r="I2" s="31" t="s">
        <v>159</v>
      </c>
    </row>
    <row r="3" spans="2:12" x14ac:dyDescent="0.2">
      <c r="C3" s="38"/>
      <c r="D3" s="38"/>
      <c r="E3" s="38"/>
      <c r="F3" s="38"/>
      <c r="G3" s="38"/>
      <c r="H3" s="39"/>
      <c r="I3" s="39"/>
    </row>
    <row r="4" spans="2:12" x14ac:dyDescent="0.2">
      <c r="B4" s="21" t="s">
        <v>160</v>
      </c>
      <c r="C4" s="32">
        <f>IFERROR('Historical FS'!H6,0)</f>
        <v>0.25408247437543841</v>
      </c>
      <c r="D4" s="32">
        <f>IFERROR('Historical FS'!I6,0)</f>
        <v>0.31281392024983457</v>
      </c>
      <c r="E4" s="32">
        <f>IFERROR('Historical FS'!J6,0)</f>
        <v>0.21282392344527534</v>
      </c>
      <c r="F4" s="32">
        <f>IFERROR('Historical FS'!K6,0)</f>
        <v>0.1369353167528049</v>
      </c>
      <c r="G4" s="32">
        <f>IFERROR('Historical FS'!L6,0)</f>
        <v>0.27173461141449984</v>
      </c>
      <c r="H4" s="33">
        <f>IFERROR(AVERAGE(E4:G4),0)</f>
        <v>0.20716461720419335</v>
      </c>
      <c r="I4" s="33">
        <f>IFERROR(AVERAGE(C4:G4),0)</f>
        <v>0.23767804924757061</v>
      </c>
    </row>
    <row r="5" spans="2:12" x14ac:dyDescent="0.2">
      <c r="B5" s="53"/>
      <c r="C5" s="54"/>
      <c r="D5" s="54"/>
      <c r="E5" s="54"/>
      <c r="F5" s="54"/>
      <c r="G5" s="54"/>
      <c r="H5" s="53"/>
      <c r="I5" s="53"/>
    </row>
    <row r="6" spans="2:12" x14ac:dyDescent="0.2">
      <c r="B6" s="53" t="s">
        <v>92</v>
      </c>
      <c r="C6" s="54">
        <f>IFERROR('Historical FS'!H9,0)</f>
        <v>0.78792797135409065</v>
      </c>
      <c r="D6" s="54">
        <f>IFERROR('Historical FS'!I9,0)</f>
        <v>0.76191116591954899</v>
      </c>
      <c r="E6" s="54">
        <f>IFERROR('Historical FS'!J9,0)</f>
        <v>0.73660518808978714</v>
      </c>
      <c r="F6" s="54">
        <f>IFERROR('Historical FS'!K9,0)</f>
        <v>0.70122146085838633</v>
      </c>
      <c r="G6" s="54">
        <f>IFERROR('Historical FS'!L9,0)</f>
        <v>0.69561287487390644</v>
      </c>
      <c r="H6" s="55">
        <f>IFERROR(AVERAGE(E6:G6),0)</f>
        <v>0.71114650794069334</v>
      </c>
      <c r="I6" s="55">
        <f>IFERROR(AVERAGE(C6:G6),0)</f>
        <v>0.73665573221914393</v>
      </c>
    </row>
    <row r="7" spans="2:12" x14ac:dyDescent="0.2">
      <c r="B7" s="53"/>
      <c r="C7" s="54"/>
      <c r="D7" s="54"/>
      <c r="E7" s="54"/>
      <c r="F7" s="54"/>
      <c r="G7" s="54"/>
      <c r="H7" s="53"/>
      <c r="I7" s="53"/>
    </row>
    <row r="8" spans="2:12" x14ac:dyDescent="0.2">
      <c r="B8" s="53" t="s">
        <v>97</v>
      </c>
      <c r="C8" s="54">
        <f>IFERROR('Historical FS'!H15,0)</f>
        <v>0.12035363130257837</v>
      </c>
      <c r="D8" s="54">
        <f>IFERROR('Historical FS'!I15,0)</f>
        <v>0.12096895007473261</v>
      </c>
      <c r="E8" s="54">
        <f>IFERROR('Historical FS'!J15,0)</f>
        <v>0.13993025058524214</v>
      </c>
      <c r="F8" s="54">
        <f>IFERROR('Historical FS'!K15,0)</f>
        <v>0.15295625826027848</v>
      </c>
      <c r="G8" s="54">
        <f>IFERROR('Historical FS'!L15,0)</f>
        <v>0.14190365817292533</v>
      </c>
      <c r="H8" s="55">
        <f>IFERROR(AVERAGE(E8:G8),0)</f>
        <v>0.14493005567281531</v>
      </c>
      <c r="I8" s="55">
        <f>IFERROR(AVERAGE(C8:G8),0)</f>
        <v>0.1352225496791514</v>
      </c>
    </row>
    <row r="9" spans="2:12" x14ac:dyDescent="0.2">
      <c r="B9" s="53"/>
      <c r="C9" s="54"/>
      <c r="D9" s="54"/>
      <c r="E9" s="54"/>
      <c r="F9" s="54"/>
      <c r="G9" s="54"/>
      <c r="H9" s="53"/>
      <c r="I9" s="53"/>
    </row>
    <row r="10" spans="2:12" x14ac:dyDescent="0.2">
      <c r="B10" s="53" t="s">
        <v>101</v>
      </c>
      <c r="C10" s="54">
        <f>IFERROR('Historical FS'!H24,0)</f>
        <v>3.050094620023313E-2</v>
      </c>
      <c r="D10" s="54">
        <f>IFERROR('Historical FS'!I24,0)</f>
        <v>2.6861208125729695E-2</v>
      </c>
      <c r="E10" s="54">
        <f>IFERROR('Historical FS'!J24,0)</f>
        <v>2.4656500636172012E-2</v>
      </c>
      <c r="F10" s="54">
        <f>IFERROR('Historical FS'!K24,0)</f>
        <v>2.3714753404533235E-2</v>
      </c>
      <c r="G10" s="54">
        <f>IFERROR('Historical FS'!L24,0)</f>
        <v>2.2697536914887094E-2</v>
      </c>
      <c r="H10" s="55">
        <f>IFERROR(AVERAGE(E10:G10),0)</f>
        <v>2.3689596985197448E-2</v>
      </c>
      <c r="I10" s="55">
        <f>IFERROR(AVERAGE(C10:G10),0)</f>
        <v>2.568618905631103E-2</v>
      </c>
    </row>
    <row r="11" spans="2:12" x14ac:dyDescent="0.2">
      <c r="B11" s="53"/>
      <c r="C11" s="54"/>
      <c r="D11" s="54"/>
      <c r="E11" s="54"/>
      <c r="F11" s="54"/>
      <c r="G11" s="54"/>
      <c r="H11" s="53"/>
      <c r="I11" s="53"/>
    </row>
    <row r="12" spans="2:12" x14ac:dyDescent="0.2">
      <c r="B12" s="53" t="s">
        <v>161</v>
      </c>
      <c r="C12" s="54">
        <f>IFERROR('Historical FS'!H20/AVERAGE('Historical FS'!G51:H51),0)</f>
        <v>6.7143296328656663E-2</v>
      </c>
      <c r="D12" s="54">
        <f>IFERROR('Historical FS'!I20/AVERAGE('Historical FS'!H51:I51),0)</f>
        <v>7.1612047182941355E-2</v>
      </c>
      <c r="E12" s="54">
        <f>IFERROR('Historical FS'!J20/AVERAGE('Historical FS'!I51:J51),0)</f>
        <v>7.9228991047777156E-2</v>
      </c>
      <c r="F12" s="54">
        <f>IFERROR('Historical FS'!K20/AVERAGE('Historical FS'!J51:K51),0)</f>
        <v>7.6655593276572967E-2</v>
      </c>
      <c r="G12" s="54">
        <f>IFERROR('Historical FS'!L20/AVERAGE('Historical FS'!K51:L51),0)</f>
        <v>7.2632904514874017E-2</v>
      </c>
      <c r="H12" s="55">
        <f>IFERROR(AVERAGE(E12:G12),0)</f>
        <v>7.6172496279741375E-2</v>
      </c>
      <c r="I12" s="55">
        <f>IFERROR(AVERAGE(C12:G12),0)</f>
        <v>7.3454566470164434E-2</v>
      </c>
    </row>
    <row r="13" spans="2:12" x14ac:dyDescent="0.2">
      <c r="B13" s="53"/>
      <c r="C13" s="54"/>
      <c r="D13" s="54"/>
      <c r="E13" s="54"/>
      <c r="F13" s="54"/>
      <c r="G13" s="54"/>
      <c r="H13" s="53"/>
      <c r="I13" s="53"/>
    </row>
    <row r="14" spans="2:12" x14ac:dyDescent="0.2">
      <c r="B14" s="53" t="s">
        <v>106</v>
      </c>
      <c r="C14" s="54">
        <f>IFERROR('Historical FS'!H33,0)</f>
        <v>0.60991375397185454</v>
      </c>
      <c r="D14" s="54">
        <f>IFERROR('Historical FS'!I33,0)</f>
        <v>0.41274933466838787</v>
      </c>
      <c r="E14" s="54">
        <f>IFERROR('Historical FS'!J33,0)</f>
        <v>0.47729052875627931</v>
      </c>
      <c r="F14" s="54">
        <f>IFERROR('Historical FS'!K33,0)</f>
        <v>0.35116325011017085</v>
      </c>
      <c r="G14" s="54">
        <f>IFERROR('Historical FS'!L33,0)</f>
        <v>0.29160774691462571</v>
      </c>
      <c r="H14" s="55">
        <f>IFERROR(AVERAGE(E14:G14),0)</f>
        <v>0.37335384192702525</v>
      </c>
      <c r="I14" s="55">
        <f>IFERROR(AVERAGE(C14:G14),0)</f>
        <v>0.4285449228842636</v>
      </c>
    </row>
    <row r="15" spans="2:12" x14ac:dyDescent="0.2">
      <c r="B15" s="53"/>
      <c r="C15" s="54"/>
      <c r="D15" s="54"/>
      <c r="E15" s="54"/>
      <c r="F15" s="54"/>
      <c r="G15" s="54"/>
      <c r="H15" s="53"/>
      <c r="I15" s="53"/>
    </row>
    <row r="16" spans="2:12" x14ac:dyDescent="0.2">
      <c r="B16" s="53" t="s">
        <v>162</v>
      </c>
      <c r="C16" s="54">
        <f>IFERROR('Historical FS'!H44,0)</f>
        <v>0.23540604106656798</v>
      </c>
      <c r="D16" s="54">
        <f>IFERROR('Historical FS'!I44,0)</f>
        <v>0.17878781036675773</v>
      </c>
      <c r="E16" s="54">
        <f>IFERROR('Historical FS'!J44,0)</f>
        <v>0.22538351607298518</v>
      </c>
      <c r="F16" s="54">
        <f>IFERROR('Historical FS'!K44,0)</f>
        <v>0.21251945821181273</v>
      </c>
      <c r="G16" s="54">
        <f>IFERROR('Historical FS'!L44,0)</f>
        <v>0.18888590710757272</v>
      </c>
      <c r="H16" s="55">
        <f>IFERROR(AVERAGE(E16:G16),0)</f>
        <v>0.20892962713079022</v>
      </c>
      <c r="I16" s="55">
        <f>IFERROR(AVERAGE(C16:G16),0)</f>
        <v>0.20819654656513928</v>
      </c>
    </row>
    <row r="17" spans="2:9" x14ac:dyDescent="0.2">
      <c r="B17" s="53"/>
      <c r="C17" s="53"/>
      <c r="D17" s="53"/>
      <c r="E17" s="53"/>
      <c r="F17" s="53"/>
      <c r="G17" s="53"/>
      <c r="H17" s="53"/>
      <c r="I17" s="53"/>
    </row>
    <row r="18" spans="2:9" x14ac:dyDescent="0.2">
      <c r="B18" s="53" t="s">
        <v>163</v>
      </c>
      <c r="C18" s="64">
        <f>IFERROR('Ratio Analysis'!H32,0)</f>
        <v>17.643565202003177</v>
      </c>
      <c r="D18" s="64">
        <f>IFERROR('Ratio Analysis'!I32,0)</f>
        <v>14.342698549664899</v>
      </c>
      <c r="E18" s="64">
        <f>IFERROR('Ratio Analysis'!J32,0)</f>
        <v>17.313273070196566</v>
      </c>
      <c r="F18" s="64">
        <f>IFERROR('Ratio Analysis'!K32,0)</f>
        <v>14.212470409292473</v>
      </c>
      <c r="G18" s="64">
        <f>IFERROR('Ratio Analysis'!L32,0)</f>
        <v>17.277791035129248</v>
      </c>
      <c r="H18" s="64">
        <f>IFERROR(AVERAGE(E18:G18),0)</f>
        <v>16.267844838206095</v>
      </c>
      <c r="I18" s="64">
        <f>IFERROR(AVERAGE(C18:G18),0)</f>
        <v>16.157959653257272</v>
      </c>
    </row>
    <row r="19" spans="2:9" x14ac:dyDescent="0.2">
      <c r="B19" s="53"/>
      <c r="C19" s="64"/>
      <c r="D19" s="64"/>
      <c r="E19" s="64"/>
      <c r="F19" s="64"/>
      <c r="G19" s="64"/>
      <c r="H19" s="53"/>
      <c r="I19" s="53"/>
    </row>
    <row r="20" spans="2:9" x14ac:dyDescent="0.2">
      <c r="B20" s="53" t="s">
        <v>153</v>
      </c>
      <c r="C20" s="64">
        <f>IFERROR('Ratio Analysis'!H34,0)</f>
        <v>31.237843423450371</v>
      </c>
      <c r="D20" s="64">
        <f>IFERROR('Ratio Analysis'!I34,0)</f>
        <v>28.789514451996482</v>
      </c>
      <c r="E20" s="64">
        <f>IFERROR('Ratio Analysis'!J34,0)</f>
        <v>28.730096048686701</v>
      </c>
      <c r="F20" s="64">
        <f>IFERROR('Ratio Analysis'!K34,0)</f>
        <v>28.530441684866425</v>
      </c>
      <c r="G20" s="64">
        <f>IFERROR('Ratio Analysis'!L34,0)</f>
        <v>23.01400826814978</v>
      </c>
      <c r="H20" s="64">
        <f>IFERROR(AVERAGE(E20:G20),0)</f>
        <v>26.758182000567633</v>
      </c>
      <c r="I20" s="64">
        <f>IFERROR(AVERAGE(C20:G20),0)</f>
        <v>28.060380775429952</v>
      </c>
    </row>
    <row r="21" spans="2:9" x14ac:dyDescent="0.2">
      <c r="B21" s="53"/>
      <c r="C21" s="64"/>
      <c r="D21" s="64"/>
      <c r="E21" s="64"/>
      <c r="F21" s="64"/>
      <c r="G21" s="64"/>
      <c r="H21" s="53"/>
      <c r="I21" s="53"/>
    </row>
    <row r="22" spans="2:9" x14ac:dyDescent="0.2">
      <c r="B22" s="53" t="s">
        <v>152</v>
      </c>
      <c r="C22" s="64">
        <f>IFERROR('Ratio Analysis'!H33,0)</f>
        <v>100.29601758302398</v>
      </c>
      <c r="D22" s="64">
        <f>IFERROR('Ratio Analysis'!I33,0)</f>
        <v>81.552080300269068</v>
      </c>
      <c r="E22" s="64">
        <f>IFERROR('Ratio Analysis'!J33,0)</f>
        <v>86.921116991182302</v>
      </c>
      <c r="F22" s="64">
        <f>IFERROR('Ratio Analysis'!K33,0)</f>
        <v>87.247638357041794</v>
      </c>
      <c r="G22" s="64">
        <f>IFERROR('Ratio Analysis'!L33,0)</f>
        <v>89.772150715754321</v>
      </c>
      <c r="H22" s="64">
        <f>IFERROR(AVERAGE(E22:G22),0)</f>
        <v>87.980302021326153</v>
      </c>
      <c r="I22" s="64">
        <f>IFERROR(AVERAGE(C22:G22),0)</f>
        <v>89.157800789454299</v>
      </c>
    </row>
    <row r="23" spans="2:9" x14ac:dyDescent="0.2">
      <c r="B23" s="53"/>
      <c r="C23" s="53"/>
      <c r="D23" s="53"/>
      <c r="E23" s="53"/>
      <c r="F23" s="53"/>
      <c r="G23" s="53"/>
      <c r="H23" s="53"/>
      <c r="I23" s="53"/>
    </row>
    <row r="24" spans="2:9" x14ac:dyDescent="0.2">
      <c r="B24" s="53" t="s">
        <v>164</v>
      </c>
      <c r="C24" s="55">
        <f>IFERROR(-'Historical FS'!H83/'Historical FS'!H5,0)</f>
        <v>3.9827043876674122E-2</v>
      </c>
      <c r="D24" s="55">
        <f>IFERROR(-'Historical FS'!I83/'Historical FS'!I5,0)</f>
        <v>4.194033963230738E-2</v>
      </c>
      <c r="E24" s="55">
        <f>IFERROR(-'Historical FS'!J83/'Historical FS'!J5,0)</f>
        <v>2.9526427054768555E-2</v>
      </c>
      <c r="F24" s="55">
        <f>IFERROR(-'Historical FS'!K83/'Historical FS'!K5,0)</f>
        <v>5.6204482704419988E-2</v>
      </c>
      <c r="G24" s="55">
        <f>IFERROR(-'Historical FS'!L83/'Historical FS'!L5,0)</f>
        <v>5.7696231392742443E-2</v>
      </c>
      <c r="H24" s="55">
        <f>IFERROR(AVERAGE(E24:G24),0)</f>
        <v>4.7809047050643656E-2</v>
      </c>
      <c r="I24" s="55">
        <f>IFERROR(AVERAGE(C24:G24),0)</f>
        <v>4.5038904932182496E-2</v>
      </c>
    </row>
    <row r="25" spans="2:9" x14ac:dyDescent="0.2">
      <c r="B25" s="53"/>
      <c r="C25" s="53"/>
      <c r="D25" s="53"/>
      <c r="E25" s="53"/>
      <c r="F25" s="53"/>
      <c r="G25" s="53"/>
      <c r="H25" s="53"/>
      <c r="I25" s="53"/>
    </row>
    <row r="26" spans="2:9" x14ac:dyDescent="0.2">
      <c r="B26" s="53" t="s">
        <v>165</v>
      </c>
      <c r="C26" s="55">
        <f>IFERROR('Historical FS'!H51/'Historical FS'!G51-1,0)</f>
        <v>0.29953215164264191</v>
      </c>
      <c r="D26" s="55">
        <f>IFERROR('Historical FS'!I51/'Historical FS'!H51-1,0)</f>
        <v>0.41374127215093526</v>
      </c>
      <c r="E26" s="55">
        <f>IFERROR('Historical FS'!J51/'Historical FS'!I51-1,0)</f>
        <v>0.1622357945581745</v>
      </c>
      <c r="F26" s="55">
        <f>IFERROR('Historical FS'!K51/'Historical FS'!J51-1,0)</f>
        <v>0.10009382558439106</v>
      </c>
      <c r="G26" s="55">
        <f>IFERROR('Historical FS'!L51/'Historical FS'!K51-1,0)</f>
        <v>0.1461897443121345</v>
      </c>
      <c r="H26" s="55">
        <f>IFERROR(AVERAGE(E26:G26),0)</f>
        <v>0.13617312148490002</v>
      </c>
      <c r="I26" s="55">
        <f>IFERROR(AVERAGE(C26:G26),0)</f>
        <v>0.22435855764965545</v>
      </c>
    </row>
  </sheetData>
  <mergeCells count="1">
    <mergeCell ref="B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137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K17" sqref="K17"/>
    </sheetView>
  </sheetViews>
  <sheetFormatPr baseColWidth="10" defaultColWidth="10.6640625" defaultRowHeight="15" outlineLevelRow="1" x14ac:dyDescent="0.2"/>
  <cols>
    <col min="1" max="1" width="2" customWidth="1"/>
    <col min="2" max="2" width="35.1640625" customWidth="1"/>
    <col min="3" max="3" width="12.6640625" customWidth="1"/>
  </cols>
  <sheetData>
    <row r="2" spans="1:15" x14ac:dyDescent="0.2">
      <c r="B2" t="s">
        <v>86</v>
      </c>
    </row>
    <row r="3" spans="1:15" x14ac:dyDescent="0.2">
      <c r="B3" s="66" t="str">
        <f>"Forecast-  "&amp;'Data Sheet'!B1</f>
        <v>Forecast-  TVS MOTOR COMPANY LTD</v>
      </c>
      <c r="C3" s="66"/>
      <c r="D3" s="66"/>
      <c r="E3" s="66"/>
      <c r="F3" s="66"/>
      <c r="G3" s="66"/>
      <c r="H3" s="66"/>
      <c r="I3" s="12"/>
      <c r="J3" s="12"/>
      <c r="K3" s="12"/>
      <c r="L3" s="12"/>
      <c r="M3" s="12"/>
      <c r="N3" s="12"/>
      <c r="O3" s="12"/>
    </row>
    <row r="4" spans="1:15" x14ac:dyDescent="0.2">
      <c r="B4" s="13" t="s">
        <v>166</v>
      </c>
      <c r="C4" s="13" t="s">
        <v>167</v>
      </c>
      <c r="D4" s="40">
        <f>IFERROR(27,0)</f>
        <v>27</v>
      </c>
      <c r="E4" s="40">
        <f>IFERROR(D4+1,0)</f>
        <v>28</v>
      </c>
      <c r="F4" s="40">
        <f>IFERROR(E4+1,0)</f>
        <v>29</v>
      </c>
      <c r="G4" s="40">
        <f>IFERROR(F4+1,0)</f>
        <v>30</v>
      </c>
      <c r="H4" s="40">
        <f>IFERROR(G4+1,0)</f>
        <v>31</v>
      </c>
      <c r="J4" s="41"/>
    </row>
    <row r="5" spans="1:15" x14ac:dyDescent="0.2">
      <c r="A5" t="s">
        <v>88</v>
      </c>
      <c r="B5" s="45" t="s">
        <v>171</v>
      </c>
      <c r="C5" s="45"/>
      <c r="D5" s="44"/>
      <c r="E5" s="44"/>
      <c r="F5" s="44"/>
      <c r="G5" s="44"/>
      <c r="H5" s="44"/>
    </row>
    <row r="7" spans="1:15" x14ac:dyDescent="0.2">
      <c r="B7" s="21" t="s">
        <v>160</v>
      </c>
      <c r="C7" s="56">
        <f>IFERROR(Drivers!I4,0)</f>
        <v>0.23767804924757061</v>
      </c>
      <c r="D7" s="57">
        <v>0.22</v>
      </c>
      <c r="E7" s="57">
        <v>0.19</v>
      </c>
      <c r="F7" s="57">
        <v>0.16</v>
      </c>
      <c r="G7" s="57">
        <v>0.14000000000000001</v>
      </c>
      <c r="H7" s="57">
        <v>0.12</v>
      </c>
    </row>
    <row r="8" spans="1:15" x14ac:dyDescent="0.2">
      <c r="B8" s="53"/>
      <c r="C8" s="53"/>
      <c r="D8" s="53"/>
      <c r="E8" s="53"/>
      <c r="F8" s="53"/>
      <c r="G8" s="53"/>
      <c r="H8" s="53"/>
    </row>
    <row r="9" spans="1:15" x14ac:dyDescent="0.2">
      <c r="B9" s="53" t="s">
        <v>92</v>
      </c>
      <c r="C9" s="58">
        <f>IFERROR(Drivers!I6,0)</f>
        <v>0.73665573221914393</v>
      </c>
      <c r="D9" s="59">
        <v>0.7</v>
      </c>
      <c r="E9" s="59">
        <v>0.70199999999999996</v>
      </c>
      <c r="F9" s="59">
        <v>0.70499999999999996</v>
      </c>
      <c r="G9" s="59">
        <v>0.70699999999999996</v>
      </c>
      <c r="H9" s="59">
        <v>0.71</v>
      </c>
    </row>
    <row r="10" spans="1:15" x14ac:dyDescent="0.2">
      <c r="B10" s="53"/>
      <c r="C10" s="53"/>
      <c r="D10" s="53"/>
      <c r="E10" s="53"/>
      <c r="F10" s="53"/>
      <c r="G10" s="53"/>
      <c r="H10" s="53"/>
    </row>
    <row r="11" spans="1:15" x14ac:dyDescent="0.2">
      <c r="B11" s="53" t="s">
        <v>97</v>
      </c>
      <c r="C11" s="58">
        <f>IFERROR(Drivers!H8,0)</f>
        <v>0.14493005567281531</v>
      </c>
      <c r="D11" s="59">
        <v>0.14199999999999999</v>
      </c>
      <c r="E11" s="59">
        <v>0.14000000000000001</v>
      </c>
      <c r="F11" s="59">
        <v>0.14000000000000001</v>
      </c>
      <c r="G11" s="59">
        <v>0.13800000000000001</v>
      </c>
      <c r="H11" s="59">
        <v>0.13800000000000001</v>
      </c>
    </row>
    <row r="12" spans="1:15" x14ac:dyDescent="0.2">
      <c r="B12" s="53"/>
      <c r="C12" s="53"/>
      <c r="D12" s="53"/>
      <c r="E12" s="53"/>
      <c r="F12" s="53"/>
      <c r="G12" s="53"/>
      <c r="H12" s="53"/>
    </row>
    <row r="13" spans="1:15" x14ac:dyDescent="0.2">
      <c r="B13" s="53" t="s">
        <v>101</v>
      </c>
      <c r="C13" s="58">
        <f>IFERROR(Drivers!H10,0)</f>
        <v>2.3689596985197448E-2</v>
      </c>
      <c r="D13" s="59">
        <v>2.4E-2</v>
      </c>
      <c r="E13" s="59">
        <v>2.5000000000000001E-2</v>
      </c>
      <c r="F13" s="59">
        <v>2.5999999999999999E-2</v>
      </c>
      <c r="G13" s="59">
        <v>2.5999999999999999E-2</v>
      </c>
      <c r="H13" s="59">
        <v>2.7E-2</v>
      </c>
    </row>
    <row r="14" spans="1:15" x14ac:dyDescent="0.2">
      <c r="B14" s="53"/>
      <c r="C14" s="53"/>
      <c r="D14" s="53"/>
      <c r="E14" s="53"/>
      <c r="F14" s="53"/>
      <c r="G14" s="53"/>
      <c r="H14" s="53"/>
    </row>
    <row r="15" spans="1:15" x14ac:dyDescent="0.2">
      <c r="B15" s="53" t="s">
        <v>161</v>
      </c>
      <c r="C15" s="58">
        <f>IFERROR(Drivers!H12,0)</f>
        <v>7.6172496279741375E-2</v>
      </c>
      <c r="D15" s="59">
        <v>7.1999999999999995E-2</v>
      </c>
      <c r="E15" s="59">
        <v>7.0000000000000007E-2</v>
      </c>
      <c r="F15" s="59">
        <v>6.8000000000000005E-2</v>
      </c>
      <c r="G15" s="59">
        <v>6.8000000000000005E-2</v>
      </c>
      <c r="H15" s="59">
        <v>6.8000000000000005E-2</v>
      </c>
    </row>
    <row r="16" spans="1:15" x14ac:dyDescent="0.2">
      <c r="B16" s="53"/>
      <c r="C16" s="53"/>
      <c r="D16" s="53"/>
      <c r="E16" s="53"/>
      <c r="F16" s="53"/>
      <c r="G16" s="53"/>
      <c r="H16" s="53"/>
    </row>
    <row r="17" spans="1:8" x14ac:dyDescent="0.2">
      <c r="B17" s="53" t="s">
        <v>106</v>
      </c>
      <c r="C17" s="58">
        <f>IFERROR(Drivers!H14,0)</f>
        <v>0.37335384192702525</v>
      </c>
      <c r="D17" s="59">
        <v>0.28000000000000003</v>
      </c>
      <c r="E17" s="59">
        <v>0.27</v>
      </c>
      <c r="F17" s="59">
        <v>0.26</v>
      </c>
      <c r="G17" s="59">
        <v>0.25</v>
      </c>
      <c r="H17" s="59">
        <v>0.25</v>
      </c>
    </row>
    <row r="18" spans="1:8" x14ac:dyDescent="0.2">
      <c r="B18" s="53"/>
      <c r="C18" s="53"/>
      <c r="D18" s="53"/>
      <c r="E18" s="53"/>
      <c r="F18" s="53"/>
      <c r="G18" s="53"/>
      <c r="H18" s="53"/>
    </row>
    <row r="19" spans="1:8" x14ac:dyDescent="0.2">
      <c r="B19" s="53" t="s">
        <v>162</v>
      </c>
      <c r="C19" s="58">
        <f>IFERROR(Drivers!I16,0)</f>
        <v>0.20819654656513928</v>
      </c>
      <c r="D19" s="59">
        <v>0.2</v>
      </c>
      <c r="E19" s="59">
        <v>0.2</v>
      </c>
      <c r="F19" s="59">
        <v>0.22</v>
      </c>
      <c r="G19" s="59">
        <v>0.22</v>
      </c>
      <c r="H19" s="59">
        <v>0.25</v>
      </c>
    </row>
    <row r="20" spans="1:8" x14ac:dyDescent="0.2">
      <c r="B20" s="53"/>
      <c r="C20" s="53"/>
      <c r="D20" s="53"/>
      <c r="E20" s="53"/>
      <c r="F20" s="53"/>
      <c r="G20" s="53"/>
      <c r="H20" s="53"/>
    </row>
    <row r="21" spans="1:8" x14ac:dyDescent="0.2">
      <c r="B21" s="53" t="s">
        <v>163</v>
      </c>
      <c r="C21" s="60">
        <f>IFERROR(Drivers!I18,0)</f>
        <v>16.157959653257272</v>
      </c>
      <c r="D21" s="61">
        <v>17</v>
      </c>
      <c r="E21" s="61">
        <v>16.5</v>
      </c>
      <c r="F21" s="61">
        <v>16.5</v>
      </c>
      <c r="G21" s="61">
        <v>16</v>
      </c>
      <c r="H21" s="61">
        <v>16</v>
      </c>
    </row>
    <row r="22" spans="1:8" x14ac:dyDescent="0.2">
      <c r="B22" s="53"/>
      <c r="C22" s="53"/>
      <c r="D22" s="53"/>
      <c r="E22" s="53"/>
      <c r="F22" s="53"/>
      <c r="G22" s="53"/>
      <c r="H22" s="53"/>
    </row>
    <row r="23" spans="1:8" x14ac:dyDescent="0.2">
      <c r="B23" s="53" t="s">
        <v>153</v>
      </c>
      <c r="C23" s="60">
        <f>IFERROR(Drivers!H20,0)</f>
        <v>26.758182000567633</v>
      </c>
      <c r="D23" s="61">
        <v>25</v>
      </c>
      <c r="E23" s="61">
        <v>24</v>
      </c>
      <c r="F23" s="61">
        <v>23</v>
      </c>
      <c r="G23" s="61">
        <v>23</v>
      </c>
      <c r="H23" s="61">
        <v>22</v>
      </c>
    </row>
    <row r="24" spans="1:8" x14ac:dyDescent="0.2">
      <c r="B24" s="53"/>
      <c r="C24" s="53"/>
      <c r="D24" s="53"/>
      <c r="E24" s="53"/>
      <c r="F24" s="53"/>
      <c r="G24" s="53"/>
      <c r="H24" s="53"/>
    </row>
    <row r="25" spans="1:8" x14ac:dyDescent="0.2">
      <c r="B25" s="53" t="s">
        <v>152</v>
      </c>
      <c r="C25" s="60">
        <f>IFERROR(Drivers!I22,0)</f>
        <v>89.157800789454299</v>
      </c>
      <c r="D25" s="61">
        <v>89</v>
      </c>
      <c r="E25" s="61">
        <v>89</v>
      </c>
      <c r="F25" s="61">
        <v>90</v>
      </c>
      <c r="G25" s="61">
        <v>90</v>
      </c>
      <c r="H25" s="61">
        <v>90</v>
      </c>
    </row>
    <row r="26" spans="1:8" x14ac:dyDescent="0.2">
      <c r="B26" s="53"/>
      <c r="C26" s="53"/>
      <c r="D26" s="53"/>
      <c r="E26" s="53"/>
      <c r="F26" s="53"/>
      <c r="G26" s="53"/>
      <c r="H26" s="53"/>
    </row>
    <row r="27" spans="1:8" x14ac:dyDescent="0.2">
      <c r="B27" s="53" t="s">
        <v>164</v>
      </c>
      <c r="C27" s="58">
        <f>IFERROR(Drivers!H24,0)</f>
        <v>4.7809047050643656E-2</v>
      </c>
      <c r="D27" s="59">
        <v>5.5E-2</v>
      </c>
      <c r="E27" s="59">
        <v>5.5E-2</v>
      </c>
      <c r="F27" s="59">
        <v>0.05</v>
      </c>
      <c r="G27" s="59">
        <v>0.05</v>
      </c>
      <c r="H27" s="59">
        <v>4.8000000000000001E-2</v>
      </c>
    </row>
    <row r="28" spans="1:8" x14ac:dyDescent="0.2">
      <c r="B28" s="53"/>
      <c r="C28" s="53"/>
      <c r="D28" s="53"/>
      <c r="E28" s="53"/>
      <c r="F28" s="53"/>
      <c r="G28" s="53"/>
      <c r="H28" s="53"/>
    </row>
    <row r="29" spans="1:8" x14ac:dyDescent="0.2">
      <c r="B29" s="52" t="s">
        <v>165</v>
      </c>
      <c r="C29" s="62">
        <f>IFERROR(Drivers!H26,0)</f>
        <v>0.13617312148490002</v>
      </c>
      <c r="D29" s="63">
        <v>0.12</v>
      </c>
      <c r="E29" s="63">
        <v>0.1</v>
      </c>
      <c r="F29" s="63">
        <v>0.08</v>
      </c>
      <c r="G29" s="63">
        <v>0.06</v>
      </c>
      <c r="H29" s="63">
        <v>0.05</v>
      </c>
    </row>
    <row r="32" spans="1:8" x14ac:dyDescent="0.2">
      <c r="A32" t="s">
        <v>88</v>
      </c>
      <c r="B32" s="65" t="s">
        <v>168</v>
      </c>
      <c r="C32" s="44"/>
      <c r="D32" s="44"/>
      <c r="E32" s="44"/>
      <c r="F32" s="44"/>
      <c r="G32" s="44"/>
      <c r="H32" s="44"/>
    </row>
    <row r="33" spans="2:8" outlineLevel="1" x14ac:dyDescent="0.2">
      <c r="B33" t="s">
        <v>12</v>
      </c>
      <c r="D33" s="42">
        <f>IFERROR('Historical FS'!L5*(1+Forecast!D7),0)</f>
        <v>68404.814399999988</v>
      </c>
      <c r="E33" s="42">
        <f>IFERROR(D33*(1+E7),0)</f>
        <v>81401.72913599998</v>
      </c>
      <c r="F33" s="42">
        <f t="shared" ref="F33:H33" si="0">IFERROR(E33*(1+F7),0)</f>
        <v>94426.005797759964</v>
      </c>
      <c r="G33" s="42">
        <f t="shared" si="0"/>
        <v>107645.64660944637</v>
      </c>
      <c r="H33" s="42">
        <f t="shared" si="0"/>
        <v>120563.12420257994</v>
      </c>
    </row>
    <row r="34" spans="2:8" outlineLevel="1" x14ac:dyDescent="0.2">
      <c r="B34" s="46" t="s">
        <v>90</v>
      </c>
      <c r="C34" s="46"/>
      <c r="D34" s="47"/>
      <c r="E34" s="48">
        <f>IFERROR(E33/D33-1,0)</f>
        <v>0.18999999999999995</v>
      </c>
      <c r="F34" s="48">
        <f t="shared" ref="F34:H34" si="1">IFERROR(F33/E33-1,0)</f>
        <v>0.15999999999999992</v>
      </c>
      <c r="G34" s="48">
        <f t="shared" si="1"/>
        <v>0.14000000000000012</v>
      </c>
      <c r="H34" s="48">
        <f t="shared" si="1"/>
        <v>0.12000000000000011</v>
      </c>
    </row>
    <row r="35" spans="2:8" outlineLevel="1" x14ac:dyDescent="0.2">
      <c r="D35" s="42"/>
      <c r="E35" s="42"/>
      <c r="F35" s="42"/>
      <c r="G35" s="42"/>
      <c r="H35" s="42"/>
    </row>
    <row r="36" spans="2:8" outlineLevel="1" x14ac:dyDescent="0.2">
      <c r="B36" t="s">
        <v>91</v>
      </c>
      <c r="D36" s="42">
        <f>D33*D9</f>
        <v>47883.370079999986</v>
      </c>
      <c r="E36" s="42">
        <f>E33*E9</f>
        <v>57144.013853471981</v>
      </c>
      <c r="F36" s="42">
        <f>F33*F9</f>
        <v>66570.334087420764</v>
      </c>
      <c r="G36" s="42">
        <f>G33*G9</f>
        <v>76105.472152878574</v>
      </c>
      <c r="H36" s="42">
        <f>H33*H9</f>
        <v>85599.818183831754</v>
      </c>
    </row>
    <row r="37" spans="2:8" outlineLevel="1" x14ac:dyDescent="0.2">
      <c r="B37" s="48" t="s">
        <v>92</v>
      </c>
      <c r="C37" s="48"/>
      <c r="D37" s="48">
        <f>IFERROR(D36/D33,0)</f>
        <v>0.7</v>
      </c>
      <c r="E37" s="48">
        <f t="shared" ref="E37:H37" si="2">IFERROR(E36/E33,0)</f>
        <v>0.70199999999999996</v>
      </c>
      <c r="F37" s="48">
        <f t="shared" si="2"/>
        <v>0.70499999999999985</v>
      </c>
      <c r="G37" s="48">
        <f t="shared" si="2"/>
        <v>0.70699999999999996</v>
      </c>
      <c r="H37" s="48">
        <f t="shared" si="2"/>
        <v>0.71</v>
      </c>
    </row>
    <row r="38" spans="2:8" outlineLevel="1" x14ac:dyDescent="0.2">
      <c r="B38" s="21"/>
      <c r="C38" s="21"/>
      <c r="D38" s="50"/>
      <c r="E38" s="50"/>
      <c r="F38" s="50"/>
      <c r="G38" s="50"/>
      <c r="H38" s="50"/>
    </row>
    <row r="39" spans="2:8" outlineLevel="1" x14ac:dyDescent="0.2">
      <c r="B39" t="s">
        <v>94</v>
      </c>
      <c r="D39" s="42">
        <f>IFERROR(D33-D36,0)</f>
        <v>20521.444320000002</v>
      </c>
      <c r="E39" s="42">
        <f>IFERROR(E33-E36,0)</f>
        <v>24257.715282527999</v>
      </c>
      <c r="F39" s="42">
        <f>IFERROR(F33-F36,0)</f>
        <v>27855.6717103392</v>
      </c>
      <c r="G39" s="42">
        <f>IFERROR(G33-G36,0)</f>
        <v>31540.174456567795</v>
      </c>
      <c r="H39" s="42">
        <f>IFERROR(H33-H36,0)</f>
        <v>34963.30601874819</v>
      </c>
    </row>
    <row r="40" spans="2:8" outlineLevel="1" x14ac:dyDescent="0.2">
      <c r="B40" s="48" t="s">
        <v>95</v>
      </c>
      <c r="C40" s="48"/>
      <c r="D40" s="48">
        <f>IFERROR(D39/D33,0)</f>
        <v>0.3000000000000001</v>
      </c>
      <c r="E40" s="48">
        <f t="shared" ref="E40:H40" si="3">IFERROR(E39/E33,0)</f>
        <v>0.29800000000000004</v>
      </c>
      <c r="F40" s="48">
        <f t="shared" si="3"/>
        <v>0.2950000000000001</v>
      </c>
      <c r="G40" s="48">
        <f t="shared" si="3"/>
        <v>0.29300000000000009</v>
      </c>
      <c r="H40" s="48">
        <f t="shared" si="3"/>
        <v>0.29000000000000004</v>
      </c>
    </row>
    <row r="41" spans="2:8" outlineLevel="1" x14ac:dyDescent="0.2">
      <c r="D41" s="42"/>
      <c r="E41" s="42"/>
      <c r="F41" s="42"/>
      <c r="G41" s="42"/>
      <c r="H41" s="42"/>
    </row>
    <row r="42" spans="2:8" outlineLevel="1" x14ac:dyDescent="0.2">
      <c r="B42" t="s">
        <v>96</v>
      </c>
      <c r="D42" s="42">
        <f>IFERROR(D33*D11,0)</f>
        <v>9713.4836447999969</v>
      </c>
      <c r="E42" s="42">
        <f>IFERROR(E33*E11,0)</f>
        <v>11396.242079039997</v>
      </c>
      <c r="F42" s="42">
        <f>IFERROR(F33*F11,0)</f>
        <v>13219.640811686397</v>
      </c>
      <c r="G42" s="42">
        <f>IFERROR(G33*G11,0)</f>
        <v>14855.099232103599</v>
      </c>
      <c r="H42" s="42">
        <f>IFERROR(H33*H11,0)</f>
        <v>16637.711139956034</v>
      </c>
    </row>
    <row r="43" spans="2:8" outlineLevel="1" x14ac:dyDescent="0.2">
      <c r="B43" s="48" t="s">
        <v>97</v>
      </c>
      <c r="C43" s="48"/>
      <c r="D43" s="48">
        <f>IFERROR(D42/D33,0)</f>
        <v>0.14199999999999999</v>
      </c>
      <c r="E43" s="48">
        <f t="shared" ref="E43:H43" si="4">IFERROR(E42/E33,0)</f>
        <v>0.14000000000000001</v>
      </c>
      <c r="F43" s="48">
        <f t="shared" si="4"/>
        <v>0.14000000000000001</v>
      </c>
      <c r="G43" s="48">
        <f t="shared" si="4"/>
        <v>0.13800000000000001</v>
      </c>
      <c r="H43" s="48">
        <f t="shared" si="4"/>
        <v>0.13800000000000001</v>
      </c>
    </row>
    <row r="44" spans="2:8" outlineLevel="1" x14ac:dyDescent="0.2">
      <c r="B44" s="21"/>
      <c r="C44" s="21"/>
      <c r="D44" s="50"/>
      <c r="E44" s="50"/>
      <c r="F44" s="50"/>
      <c r="G44" s="50"/>
      <c r="H44" s="50"/>
    </row>
    <row r="45" spans="2:8" outlineLevel="1" x14ac:dyDescent="0.2">
      <c r="B45" t="s">
        <v>98</v>
      </c>
      <c r="D45" s="42">
        <f>IFERROR(D39-D42,0)</f>
        <v>10807.960675200005</v>
      </c>
      <c r="E45" s="42">
        <f t="shared" ref="E45:H45" si="5">IFERROR(E39-E42,0)</f>
        <v>12861.473203488002</v>
      </c>
      <c r="F45" s="42">
        <f t="shared" si="5"/>
        <v>14636.030898652803</v>
      </c>
      <c r="G45" s="42">
        <f t="shared" si="5"/>
        <v>16685.075224464195</v>
      </c>
      <c r="H45" s="42">
        <f t="shared" si="5"/>
        <v>18325.594878792155</v>
      </c>
    </row>
    <row r="46" spans="2:8" outlineLevel="1" x14ac:dyDescent="0.2">
      <c r="B46" s="48" t="s">
        <v>99</v>
      </c>
      <c r="C46" s="48"/>
      <c r="D46" s="48">
        <f>IFERROR(D45/D33,0)</f>
        <v>0.15800000000000011</v>
      </c>
      <c r="E46" s="48">
        <f t="shared" ref="E46:H46" si="6">IFERROR(E45/E33,0)</f>
        <v>0.15800000000000006</v>
      </c>
      <c r="F46" s="48">
        <f t="shared" si="6"/>
        <v>0.15500000000000008</v>
      </c>
      <c r="G46" s="48">
        <f t="shared" si="6"/>
        <v>0.15500000000000008</v>
      </c>
      <c r="H46" s="48">
        <f t="shared" si="6"/>
        <v>0.15200000000000002</v>
      </c>
    </row>
    <row r="47" spans="2:8" outlineLevel="1" x14ac:dyDescent="0.2">
      <c r="D47" s="42"/>
      <c r="E47" s="42"/>
      <c r="F47" s="42"/>
      <c r="G47" s="42"/>
      <c r="H47" s="42"/>
    </row>
    <row r="48" spans="2:8" outlineLevel="1" x14ac:dyDescent="0.2">
      <c r="B48" t="s">
        <v>22</v>
      </c>
      <c r="D48" s="42">
        <f>IFERROR(D15*AVERAGE('Historical FS'!L51,Forecast!D81),0)</f>
        <v>2502.6098831999998</v>
      </c>
      <c r="E48" s="42">
        <f>IFERROR(E15*AVERAGE(D81,E81),0)</f>
        <v>2699.3559432000011</v>
      </c>
      <c r="F48" s="42">
        <f t="shared" ref="F48:H48" si="7">IFERROR(F15*AVERAGE(E81,F81),0)</f>
        <v>2856.9836399104011</v>
      </c>
      <c r="G48" s="42">
        <f t="shared" si="7"/>
        <v>3055.8736548426255</v>
      </c>
      <c r="H48" s="42">
        <f t="shared" si="7"/>
        <v>3223.5016757150611</v>
      </c>
    </row>
    <row r="49" spans="2:8" outlineLevel="1" x14ac:dyDescent="0.2">
      <c r="B49" s="48" t="s">
        <v>100</v>
      </c>
      <c r="C49" s="48"/>
      <c r="D49" s="48">
        <f>IFERROR(D48/D33,0)</f>
        <v>3.6585288698627039E-2</v>
      </c>
      <c r="E49" s="48">
        <f t="shared" ref="E49:H49" si="8">IFERROR(E48/E33,0)</f>
        <v>3.3160916504489935E-2</v>
      </c>
      <c r="F49" s="48">
        <f t="shared" si="8"/>
        <v>3.0256322035154604E-2</v>
      </c>
      <c r="G49" s="48">
        <f t="shared" si="8"/>
        <v>2.8388269763753356E-2</v>
      </c>
      <c r="H49" s="48">
        <f t="shared" si="8"/>
        <v>2.6737044988139756E-2</v>
      </c>
    </row>
    <row r="50" spans="2:8" outlineLevel="1" x14ac:dyDescent="0.2">
      <c r="D50" s="42"/>
      <c r="E50" s="42"/>
      <c r="F50" s="42"/>
      <c r="G50" s="42"/>
      <c r="H50" s="42"/>
    </row>
    <row r="51" spans="2:8" outlineLevel="1" x14ac:dyDescent="0.2">
      <c r="B51" t="s">
        <v>21</v>
      </c>
      <c r="D51" s="42">
        <f>IFERROR(D33*D13,0)</f>
        <v>1641.7155455999998</v>
      </c>
      <c r="E51" s="42">
        <f t="shared" ref="E51:H51" si="9">IFERROR(E33*E13,0)</f>
        <v>2035.0432283999996</v>
      </c>
      <c r="F51" s="42">
        <f t="shared" si="9"/>
        <v>2455.0761507417587</v>
      </c>
      <c r="G51" s="42">
        <f t="shared" si="9"/>
        <v>2798.7868118456054</v>
      </c>
      <c r="H51" s="42">
        <f t="shared" si="9"/>
        <v>3255.2043534696586</v>
      </c>
    </row>
    <row r="52" spans="2:8" outlineLevel="1" x14ac:dyDescent="0.2">
      <c r="B52" s="48" t="s">
        <v>101</v>
      </c>
      <c r="C52" s="48"/>
      <c r="D52" s="48">
        <f>IFERROR(D51/D33,0)</f>
        <v>2.4E-2</v>
      </c>
      <c r="E52" s="48">
        <f t="shared" ref="E52:H52" si="10">IFERROR(E51/E33,0)</f>
        <v>2.5000000000000001E-2</v>
      </c>
      <c r="F52" s="48">
        <f t="shared" si="10"/>
        <v>2.5999999999999995E-2</v>
      </c>
      <c r="G52" s="48">
        <f t="shared" si="10"/>
        <v>2.5999999999999999E-2</v>
      </c>
      <c r="H52" s="48">
        <f t="shared" si="10"/>
        <v>2.7E-2</v>
      </c>
    </row>
    <row r="53" spans="2:8" outlineLevel="1" x14ac:dyDescent="0.2">
      <c r="B53" s="22"/>
      <c r="C53" s="21"/>
      <c r="D53" s="21"/>
      <c r="E53" s="21"/>
      <c r="F53" s="21"/>
      <c r="G53" s="21"/>
      <c r="H53" s="21"/>
    </row>
    <row r="54" spans="2:8" outlineLevel="1" x14ac:dyDescent="0.2">
      <c r="B54" s="24" t="s">
        <v>102</v>
      </c>
      <c r="D54" s="42">
        <f>IFERROR(D45-D51,0)</f>
        <v>9166.2451296000054</v>
      </c>
      <c r="E54" s="42">
        <f t="shared" ref="E54:H54" si="11">IFERROR(E45-E51,0)</f>
        <v>10826.429975088002</v>
      </c>
      <c r="F54" s="42">
        <f t="shared" si="11"/>
        <v>12180.954747911044</v>
      </c>
      <c r="G54" s="42">
        <f t="shared" si="11"/>
        <v>13886.288412618589</v>
      </c>
      <c r="H54" s="42">
        <f t="shared" si="11"/>
        <v>15070.390525322497</v>
      </c>
    </row>
    <row r="55" spans="2:8" outlineLevel="1" x14ac:dyDescent="0.2">
      <c r="B55" s="48" t="s">
        <v>103</v>
      </c>
      <c r="C55" s="48"/>
      <c r="D55" s="48">
        <f>IFERROR(D54/D33,0)</f>
        <v>0.13400000000000009</v>
      </c>
      <c r="E55" s="48">
        <f t="shared" ref="E55:H55" si="12">IFERROR(E54/E33,0)</f>
        <v>0.13300000000000006</v>
      </c>
      <c r="F55" s="48">
        <f t="shared" si="12"/>
        <v>0.12900000000000009</v>
      </c>
      <c r="G55" s="48">
        <f t="shared" si="12"/>
        <v>0.12900000000000006</v>
      </c>
      <c r="H55" s="48">
        <f t="shared" si="12"/>
        <v>0.12500000000000003</v>
      </c>
    </row>
    <row r="56" spans="2:8" outlineLevel="1" x14ac:dyDescent="0.2">
      <c r="B56" s="21"/>
      <c r="C56" s="21"/>
      <c r="D56" s="50"/>
      <c r="E56" s="50"/>
      <c r="F56" s="50"/>
      <c r="G56" s="50"/>
      <c r="H56" s="50"/>
    </row>
    <row r="57" spans="2:8" outlineLevel="1" x14ac:dyDescent="0.2">
      <c r="B57" t="s">
        <v>104</v>
      </c>
      <c r="D57" s="42">
        <f>IFERROR(D54-D48,0)</f>
        <v>6663.6352464000056</v>
      </c>
      <c r="E57" s="42">
        <f t="shared" ref="E57:H57" si="13">IFERROR(E54-E48,0)</f>
        <v>8127.0740318880007</v>
      </c>
      <c r="F57" s="42">
        <f t="shared" si="13"/>
        <v>9323.9711080006437</v>
      </c>
      <c r="G57" s="42">
        <f t="shared" si="13"/>
        <v>10830.414757775963</v>
      </c>
      <c r="H57" s="42">
        <f t="shared" si="13"/>
        <v>11846.888849607436</v>
      </c>
    </row>
    <row r="58" spans="2:8" outlineLevel="1" x14ac:dyDescent="0.2">
      <c r="B58" s="48" t="s">
        <v>105</v>
      </c>
      <c r="C58" s="48"/>
      <c r="D58" s="48">
        <f>IFERROR(D57/D33,0)</f>
        <v>9.7414711301373066E-2</v>
      </c>
      <c r="E58" s="48">
        <f t="shared" ref="E58:H58" si="14">IFERROR(E57/E33,0)</f>
        <v>9.9839083495510114E-2</v>
      </c>
      <c r="F58" s="48">
        <f t="shared" si="14"/>
        <v>9.8743677964845497E-2</v>
      </c>
      <c r="G58" s="48">
        <f t="shared" si="14"/>
        <v>0.10061173023624671</v>
      </c>
      <c r="H58" s="48">
        <f t="shared" si="14"/>
        <v>9.8262955011860276E-2</v>
      </c>
    </row>
    <row r="59" spans="2:8" outlineLevel="1" x14ac:dyDescent="0.2"/>
    <row r="60" spans="2:8" outlineLevel="1" x14ac:dyDescent="0.2">
      <c r="B60" t="s">
        <v>24</v>
      </c>
      <c r="D60" s="42">
        <f>IFERROR(D57*D17,0)</f>
        <v>1865.8178689920016</v>
      </c>
      <c r="E60" s="42">
        <f t="shared" ref="E60:H60" si="15">IFERROR(E57*E17,0)</f>
        <v>2194.3099886097602</v>
      </c>
      <c r="F60" s="42">
        <f t="shared" si="15"/>
        <v>2424.2324880801675</v>
      </c>
      <c r="G60" s="42">
        <f t="shared" si="15"/>
        <v>2707.6036894439908</v>
      </c>
      <c r="H60" s="42">
        <f t="shared" si="15"/>
        <v>2961.722212401859</v>
      </c>
    </row>
    <row r="61" spans="2:8" outlineLevel="1" x14ac:dyDescent="0.2">
      <c r="B61" s="48" t="s">
        <v>106</v>
      </c>
      <c r="C61" s="48"/>
      <c r="D61" s="48">
        <f>IFERROR(D60/D57,0)</f>
        <v>0.28000000000000003</v>
      </c>
      <c r="E61" s="48">
        <f t="shared" ref="E61:H61" si="16">IFERROR(E60/E57,0)</f>
        <v>0.27</v>
      </c>
      <c r="F61" s="48">
        <f t="shared" si="16"/>
        <v>0.26</v>
      </c>
      <c r="G61" s="48">
        <f t="shared" si="16"/>
        <v>0.25</v>
      </c>
      <c r="H61" s="48">
        <f t="shared" si="16"/>
        <v>0.25</v>
      </c>
    </row>
    <row r="62" spans="2:8" outlineLevel="1" x14ac:dyDescent="0.2">
      <c r="B62" s="21"/>
      <c r="C62" s="21"/>
      <c r="D62" s="50"/>
      <c r="E62" s="50"/>
      <c r="F62" s="50"/>
      <c r="G62" s="50"/>
      <c r="H62" s="50"/>
    </row>
    <row r="63" spans="2:8" outlineLevel="1" x14ac:dyDescent="0.2">
      <c r="B63" t="s">
        <v>107</v>
      </c>
      <c r="D63" s="42">
        <f>IFERROR(D57-D60,0)</f>
        <v>4797.8173774080042</v>
      </c>
      <c r="E63" s="42">
        <f t="shared" ref="E63:H63" si="17">IFERROR(E57-E60,0)</f>
        <v>5932.7640432782409</v>
      </c>
      <c r="F63" s="42">
        <f t="shared" si="17"/>
        <v>6899.7386199204757</v>
      </c>
      <c r="G63" s="42">
        <f t="shared" si="17"/>
        <v>8122.8110683319719</v>
      </c>
      <c r="H63" s="42">
        <f t="shared" si="17"/>
        <v>8885.166637205577</v>
      </c>
    </row>
    <row r="64" spans="2:8" outlineLevel="1" x14ac:dyDescent="0.2">
      <c r="B64" s="48" t="s">
        <v>108</v>
      </c>
      <c r="C64" s="48"/>
      <c r="D64" s="48">
        <f>IFERROR(D63/D33,0)</f>
        <v>7.0138592136988601E-2</v>
      </c>
      <c r="E64" s="48">
        <f t="shared" ref="E64:H64" si="18">IFERROR(E63/E33,0)</f>
        <v>7.2882530951722396E-2</v>
      </c>
      <c r="F64" s="48">
        <f t="shared" si="18"/>
        <v>7.3070321693985654E-2</v>
      </c>
      <c r="G64" s="48">
        <f t="shared" si="18"/>
        <v>7.5458797677185024E-2</v>
      </c>
      <c r="H64" s="48">
        <f t="shared" si="18"/>
        <v>7.3697216258895207E-2</v>
      </c>
    </row>
    <row r="65" spans="1:8" outlineLevel="1" x14ac:dyDescent="0.2"/>
    <row r="66" spans="1:8" outlineLevel="1" x14ac:dyDescent="0.2">
      <c r="B66" t="s">
        <v>43</v>
      </c>
      <c r="D66" s="42">
        <f>IFERROR('Historical FS'!L38,0)</f>
        <v>47.51</v>
      </c>
      <c r="E66" s="42">
        <f>IFERROR(D66,0)</f>
        <v>47.51</v>
      </c>
      <c r="F66" s="42">
        <f t="shared" ref="F66:H66" si="19">IFERROR(E66,0)</f>
        <v>47.51</v>
      </c>
      <c r="G66" s="42">
        <f t="shared" si="19"/>
        <v>47.51</v>
      </c>
      <c r="H66" s="42">
        <f t="shared" si="19"/>
        <v>47.51</v>
      </c>
    </row>
    <row r="67" spans="1:8" outlineLevel="1" x14ac:dyDescent="0.2">
      <c r="D67" s="42"/>
      <c r="E67" s="42"/>
      <c r="F67" s="42"/>
      <c r="G67" s="42"/>
      <c r="H67" s="42"/>
    </row>
    <row r="68" spans="1:8" outlineLevel="1" x14ac:dyDescent="0.2">
      <c r="B68" t="s">
        <v>109</v>
      </c>
      <c r="D68" s="42">
        <f>IFERROR(D63/D66,0)</f>
        <v>100.98542154089675</v>
      </c>
      <c r="E68" s="42">
        <f t="shared" ref="E68:H68" si="20">IFERROR(E63/E66,0)</f>
        <v>124.87400638346119</v>
      </c>
      <c r="F68" s="42">
        <f t="shared" si="20"/>
        <v>145.22708103389763</v>
      </c>
      <c r="G68" s="42">
        <f t="shared" si="20"/>
        <v>170.97055500593501</v>
      </c>
      <c r="H68" s="42">
        <f t="shared" si="20"/>
        <v>187.01676777953224</v>
      </c>
    </row>
    <row r="69" spans="1:8" outlineLevel="1" x14ac:dyDescent="0.2">
      <c r="B69" s="48" t="s">
        <v>110</v>
      </c>
      <c r="C69" s="48"/>
      <c r="D69" s="48"/>
      <c r="E69" s="48">
        <f>IFERROR(E68/D68-1,0)</f>
        <v>0.23655478660244156</v>
      </c>
      <c r="F69" s="48">
        <f t="shared" ref="F69:H69" si="21">IFERROR(F68/E68-1,0)</f>
        <v>0.16298888167275205</v>
      </c>
      <c r="G69" s="48">
        <f t="shared" si="21"/>
        <v>0.17726359153378946</v>
      </c>
      <c r="H69" s="48">
        <f t="shared" si="21"/>
        <v>9.3853662538793348E-2</v>
      </c>
    </row>
    <row r="70" spans="1:8" outlineLevel="1" x14ac:dyDescent="0.2">
      <c r="D70" s="42"/>
      <c r="E70" s="42"/>
      <c r="F70" s="42"/>
      <c r="G70" s="42"/>
      <c r="H70" s="42"/>
    </row>
    <row r="71" spans="1:8" outlineLevel="1" x14ac:dyDescent="0.2">
      <c r="B71" t="s">
        <v>111</v>
      </c>
      <c r="D71" s="42">
        <f>IFERROR(D63*D19/D66,0)</f>
        <v>20.197084308179349</v>
      </c>
      <c r="E71" s="42">
        <f t="shared" ref="E71:H71" si="22">IFERROR(E63*E19/E66,0)</f>
        <v>24.97480127669224</v>
      </c>
      <c r="F71" s="42">
        <f t="shared" si="22"/>
        <v>31.949957827457478</v>
      </c>
      <c r="G71" s="42">
        <f t="shared" si="22"/>
        <v>37.613522101305705</v>
      </c>
      <c r="H71" s="42">
        <f t="shared" si="22"/>
        <v>46.754191944883061</v>
      </c>
    </row>
    <row r="72" spans="1:8" outlineLevel="1" x14ac:dyDescent="0.2">
      <c r="B72" s="48" t="s">
        <v>112</v>
      </c>
      <c r="C72" s="48"/>
      <c r="D72" s="48">
        <f>IFERROR(D71/D68,0)</f>
        <v>0.19999999999999998</v>
      </c>
      <c r="E72" s="48">
        <f t="shared" ref="E72:H72" si="23">IFERROR(E71/E68,0)</f>
        <v>0.2</v>
      </c>
      <c r="F72" s="48">
        <f t="shared" si="23"/>
        <v>0.22</v>
      </c>
      <c r="G72" s="48">
        <f t="shared" si="23"/>
        <v>0.22</v>
      </c>
      <c r="H72" s="48">
        <f t="shared" si="23"/>
        <v>0.25</v>
      </c>
    </row>
    <row r="73" spans="1:8" outlineLevel="1" x14ac:dyDescent="0.2">
      <c r="D73" s="42"/>
      <c r="E73" s="42"/>
      <c r="F73" s="42"/>
      <c r="G73" s="42"/>
      <c r="H73" s="42"/>
    </row>
    <row r="74" spans="1:8" outlineLevel="1" x14ac:dyDescent="0.2">
      <c r="B74" t="s">
        <v>113</v>
      </c>
      <c r="D74" s="42">
        <f>IFERROR(D63-D71*D66,0)</f>
        <v>3838.2539019264032</v>
      </c>
      <c r="E74" s="42">
        <f t="shared" ref="E74:H74" si="24">IFERROR(E63-E71*E66,0)</f>
        <v>4746.2112346225931</v>
      </c>
      <c r="F74" s="42">
        <f t="shared" si="24"/>
        <v>5381.7961235379707</v>
      </c>
      <c r="G74" s="42">
        <f t="shared" si="24"/>
        <v>6335.7926332989382</v>
      </c>
      <c r="H74" s="42">
        <f t="shared" si="24"/>
        <v>6663.8749779041827</v>
      </c>
    </row>
    <row r="75" spans="1:8" outlineLevel="1" x14ac:dyDescent="0.2">
      <c r="B75" s="48"/>
      <c r="C75" s="48"/>
      <c r="D75" s="48" cm="1">
        <f t="array" ref="D75">IFERROR(1-D72,o)</f>
        <v>0.8</v>
      </c>
      <c r="E75" s="48" cm="1">
        <f t="array" ref="E75">IFERROR(1-E72,o)</f>
        <v>0.8</v>
      </c>
      <c r="F75" s="48" cm="1">
        <f t="array" ref="F75">IFERROR(1-F72,o)</f>
        <v>0.78</v>
      </c>
      <c r="G75" s="48" cm="1">
        <f t="array" ref="G75">IFERROR(1-G72,o)</f>
        <v>0.78</v>
      </c>
      <c r="H75" s="48" cm="1">
        <f t="array" ref="H75">IFERROR(1-H72,o)</f>
        <v>0.75</v>
      </c>
    </row>
    <row r="77" spans="1:8" x14ac:dyDescent="0.2">
      <c r="A77" t="s">
        <v>88</v>
      </c>
      <c r="B77" s="65" t="s">
        <v>114</v>
      </c>
      <c r="C77" s="44"/>
      <c r="D77" s="44"/>
      <c r="E77" s="44"/>
      <c r="F77" s="44"/>
      <c r="G77" s="44"/>
      <c r="H77" s="44"/>
    </row>
    <row r="78" spans="1:8" outlineLevel="1" x14ac:dyDescent="0.2"/>
    <row r="79" spans="1:8" outlineLevel="1" x14ac:dyDescent="0.2">
      <c r="B79" s="2" t="s">
        <v>31</v>
      </c>
      <c r="D79" s="42">
        <f>IFERROR('Historical FS'!L49,0)</f>
        <v>47.51</v>
      </c>
      <c r="E79" s="42">
        <f>IFERROR(D79,0)</f>
        <v>47.51</v>
      </c>
      <c r="F79" s="42">
        <f t="shared" ref="F79:H79" si="25">IFERROR(E79,0)</f>
        <v>47.51</v>
      </c>
      <c r="G79" s="42">
        <f t="shared" si="25"/>
        <v>47.51</v>
      </c>
      <c r="H79" s="42">
        <f t="shared" si="25"/>
        <v>47.51</v>
      </c>
    </row>
    <row r="80" spans="1:8" outlineLevel="1" x14ac:dyDescent="0.2">
      <c r="B80" s="2" t="s">
        <v>32</v>
      </c>
      <c r="D80" s="42">
        <f>IFERROR('Historical FS'!L50+Forecast!D74,0)</f>
        <v>13354.993901926402</v>
      </c>
      <c r="E80" s="42">
        <f>IFERROR(D80+E74,0)</f>
        <v>18101.205136548997</v>
      </c>
      <c r="F80" s="42">
        <f t="shared" ref="F80:H80" si="26">IFERROR(E80+F74,0)</f>
        <v>23483.001260086967</v>
      </c>
      <c r="G80" s="42">
        <f t="shared" si="26"/>
        <v>29818.793893385904</v>
      </c>
      <c r="H80" s="42">
        <f t="shared" si="26"/>
        <v>36482.668871290087</v>
      </c>
    </row>
    <row r="81" spans="2:8" outlineLevel="1" x14ac:dyDescent="0.2">
      <c r="B81" s="2" t="s">
        <v>33</v>
      </c>
      <c r="D81" s="42">
        <f>IFERROR('Historical FS'!L51*(1+Forecast!D29),0)</f>
        <v>36725.931200000006</v>
      </c>
      <c r="E81" s="42">
        <f>IFERROR(D81*(1+E29),0)</f>
        <v>40398.524320000011</v>
      </c>
      <c r="F81" s="42">
        <f t="shared" ref="F81:H81" si="27">IFERROR(E81*(1+F29),0)</f>
        <v>43630.406265600017</v>
      </c>
      <c r="G81" s="42">
        <f t="shared" si="27"/>
        <v>46248.230641536022</v>
      </c>
      <c r="H81" s="42">
        <f t="shared" si="27"/>
        <v>48560.642173612825</v>
      </c>
    </row>
    <row r="82" spans="2:8" outlineLevel="1" x14ac:dyDescent="0.2">
      <c r="B82" s="26" t="s">
        <v>34</v>
      </c>
      <c r="C82" s="21"/>
      <c r="D82" s="50">
        <f>IFERROR(D33/365*D25,0)</f>
        <v>16679.530086575338</v>
      </c>
      <c r="E82" s="50">
        <f t="shared" ref="E82:H82" si="28">IFERROR(E33/365*E25,0)</f>
        <v>19848.640803024653</v>
      </c>
      <c r="F82" s="50">
        <f t="shared" si="28"/>
        <v>23283.124717255883</v>
      </c>
      <c r="G82" s="50">
        <f t="shared" si="28"/>
        <v>26542.762177671706</v>
      </c>
      <c r="H82" s="50">
        <f t="shared" si="28"/>
        <v>29727.893638992315</v>
      </c>
    </row>
    <row r="83" spans="2:8" outlineLevel="1" x14ac:dyDescent="0.2">
      <c r="B83" s="3" t="s">
        <v>115</v>
      </c>
      <c r="D83" s="42">
        <f>IFERROR(SUM(D79:D82),0)</f>
        <v>66807.965188501752</v>
      </c>
      <c r="E83" s="42">
        <f t="shared" ref="E83:H83" si="29">IFERROR(SUM(E79:E82),0)</f>
        <v>78395.880259573663</v>
      </c>
      <c r="F83" s="42">
        <f t="shared" si="29"/>
        <v>90444.042242942858</v>
      </c>
      <c r="G83" s="42">
        <f t="shared" si="29"/>
        <v>102657.29671259364</v>
      </c>
      <c r="H83" s="42">
        <f t="shared" si="29"/>
        <v>114818.71468389523</v>
      </c>
    </row>
    <row r="84" spans="2:8" outlineLevel="1" x14ac:dyDescent="0.2">
      <c r="B84" s="3"/>
    </row>
    <row r="85" spans="2:8" outlineLevel="1" x14ac:dyDescent="0.2">
      <c r="B85" s="2" t="s">
        <v>36</v>
      </c>
      <c r="D85" s="42">
        <f>IFERROR('Historical FS'!L55+(Forecast!D33*Forecast!D27)-D51,0)</f>
        <v>10754.499246400001</v>
      </c>
      <c r="E85" s="42">
        <f>IFERROR(D85+E33*E27-E51,0)</f>
        <v>13196.55112048</v>
      </c>
      <c r="F85" s="42">
        <f t="shared" ref="F85:H85" si="30">IFERROR(E85+F33*F27-F51,0)</f>
        <v>15462.77525962624</v>
      </c>
      <c r="G85" s="42">
        <f t="shared" si="30"/>
        <v>18046.270778252951</v>
      </c>
      <c r="H85" s="42">
        <f t="shared" si="30"/>
        <v>20578.096386507132</v>
      </c>
    </row>
    <row r="86" spans="2:8" outlineLevel="1" x14ac:dyDescent="0.2">
      <c r="B86" s="2" t="s">
        <v>37</v>
      </c>
      <c r="D86" s="42">
        <f>IFERROR('Historical FS'!L56,0)</f>
        <v>2072.2199999999998</v>
      </c>
      <c r="E86" s="42">
        <f>IFERROR(D86,0)</f>
        <v>2072.2199999999998</v>
      </c>
      <c r="F86" s="42">
        <f t="shared" ref="F86:H86" si="31">IFERROR(E86,0)</f>
        <v>2072.2199999999998</v>
      </c>
      <c r="G86" s="42">
        <f t="shared" si="31"/>
        <v>2072.2199999999998</v>
      </c>
      <c r="H86" s="42">
        <f t="shared" si="31"/>
        <v>2072.2199999999998</v>
      </c>
    </row>
    <row r="87" spans="2:8" outlineLevel="1" x14ac:dyDescent="0.2">
      <c r="B87" s="2" t="s">
        <v>38</v>
      </c>
      <c r="D87" s="42">
        <f>IFERROR('Historical FS'!L57,0)</f>
        <v>1146.6400000000001</v>
      </c>
      <c r="E87" s="42">
        <f>IFERROR(D87,0)</f>
        <v>1146.6400000000001</v>
      </c>
      <c r="F87" s="42">
        <f t="shared" ref="F87:H87" si="32">IFERROR(E87,0)</f>
        <v>1146.6400000000001</v>
      </c>
      <c r="G87" s="42">
        <f t="shared" si="32"/>
        <v>1146.6400000000001</v>
      </c>
      <c r="H87" s="42">
        <f t="shared" si="32"/>
        <v>1146.6400000000001</v>
      </c>
    </row>
    <row r="88" spans="2:8" outlineLevel="1" x14ac:dyDescent="0.2">
      <c r="B88" s="2" t="s">
        <v>39</v>
      </c>
      <c r="D88" s="42">
        <f>IFERROR('Historical FS'!$L$58/'Historical FS'!$L$5*Forecast!D33,0)</f>
        <v>42307.599199999997</v>
      </c>
      <c r="E88" s="42">
        <f>IFERROR('Historical FS'!$L$58/'Historical FS'!$L$5*Forecast!E33,0)</f>
        <v>50346.043047999992</v>
      </c>
      <c r="F88" s="42">
        <f>IFERROR('Historical FS'!$L$58/'Historical FS'!$L$5*Forecast!F33,0)</f>
        <v>58401.409935679978</v>
      </c>
      <c r="G88" s="42">
        <f>IFERROR('Historical FS'!$L$58/'Historical FS'!$L$5*Forecast!G33,0)</f>
        <v>66577.607326675177</v>
      </c>
      <c r="H88" s="42">
        <f>IFERROR('Historical FS'!$L$58/'Historical FS'!$L$5*Forecast!H33,0)</f>
        <v>74566.920205876217</v>
      </c>
    </row>
    <row r="89" spans="2:8" outlineLevel="1" x14ac:dyDescent="0.2">
      <c r="B89" s="3" t="s">
        <v>116</v>
      </c>
      <c r="D89" s="42">
        <f>IFERROR(SUM(D85:D88),0)</f>
        <v>56280.958446399993</v>
      </c>
      <c r="E89" s="42">
        <f t="shared" ref="E89:H89" si="33">IFERROR(SUM(E85:E88),0)</f>
        <v>66761.454168479991</v>
      </c>
      <c r="F89" s="42">
        <f t="shared" si="33"/>
        <v>77083.045195306215</v>
      </c>
      <c r="G89" s="42">
        <f t="shared" si="33"/>
        <v>87842.738104928125</v>
      </c>
      <c r="H89" s="42">
        <f t="shared" si="33"/>
        <v>98363.876592383342</v>
      </c>
    </row>
    <row r="90" spans="2:8" outlineLevel="1" x14ac:dyDescent="0.2">
      <c r="B90" s="3"/>
      <c r="D90" s="42"/>
      <c r="E90" s="42"/>
      <c r="F90" s="42"/>
      <c r="G90" s="42"/>
      <c r="H90" s="42"/>
    </row>
    <row r="91" spans="2:8" outlineLevel="1" x14ac:dyDescent="0.2">
      <c r="B91" s="2" t="s">
        <v>40</v>
      </c>
      <c r="D91" s="42">
        <f>IFERROR(D33/365*D21,0)</f>
        <v>3185.9776569863006</v>
      </c>
      <c r="E91" s="42">
        <f t="shared" ref="E91:H91" si="34">IFERROR(E33/365*E21,0)</f>
        <v>3679.8041938191773</v>
      </c>
      <c r="F91" s="42">
        <f t="shared" si="34"/>
        <v>4268.5728648302456</v>
      </c>
      <c r="G91" s="42">
        <f t="shared" si="34"/>
        <v>4718.7132760305258</v>
      </c>
      <c r="H91" s="42">
        <f t="shared" si="34"/>
        <v>5284.9588691541894</v>
      </c>
    </row>
    <row r="92" spans="2:8" outlineLevel="1" x14ac:dyDescent="0.2">
      <c r="B92" s="2" t="s">
        <v>41</v>
      </c>
      <c r="D92" s="42">
        <f>IFERROR(D36/365*D23,0)</f>
        <v>3279.6828821917798</v>
      </c>
      <c r="E92" s="42">
        <f t="shared" ref="E92:H92" si="35">IFERROR(E36/365*E23,0)</f>
        <v>3757.414609543363</v>
      </c>
      <c r="F92" s="42">
        <f t="shared" si="35"/>
        <v>4194.8429698922673</v>
      </c>
      <c r="G92" s="42">
        <f t="shared" si="35"/>
        <v>4795.6872863457729</v>
      </c>
      <c r="H92" s="42">
        <f t="shared" si="35"/>
        <v>5159.4410960117766</v>
      </c>
    </row>
    <row r="93" spans="2:8" outlineLevel="1" x14ac:dyDescent="0.2">
      <c r="B93" s="2" t="s">
        <v>42</v>
      </c>
      <c r="D93" s="42">
        <f>IFERROR(D83-SUM(D89,D91:D92),0)</f>
        <v>4061.3462029236762</v>
      </c>
      <c r="E93" s="42">
        <f t="shared" ref="E93:H93" si="36">IFERROR(E83-SUM(E89,E91:E92),0)</f>
        <v>4197.2072877311293</v>
      </c>
      <c r="F93" s="42">
        <f t="shared" si="36"/>
        <v>4897.5812129141268</v>
      </c>
      <c r="G93" s="42">
        <f t="shared" si="36"/>
        <v>5300.1580452892231</v>
      </c>
      <c r="H93" s="42">
        <f t="shared" si="36"/>
        <v>6010.4381263459218</v>
      </c>
    </row>
    <row r="94" spans="2:8" outlineLevel="1" x14ac:dyDescent="0.2">
      <c r="B94" s="3" t="s">
        <v>117</v>
      </c>
      <c r="D94" s="42">
        <f>IFERROR(SUM(D91:D93),0)</f>
        <v>10527.006742101756</v>
      </c>
      <c r="E94" s="42">
        <f t="shared" ref="E94:H94" si="37">IFERROR(SUM(E91:E93),0)</f>
        <v>11634.42609109367</v>
      </c>
      <c r="F94" s="42">
        <f t="shared" si="37"/>
        <v>13360.99704763664</v>
      </c>
      <c r="G94" s="42">
        <f t="shared" si="37"/>
        <v>14814.558607665522</v>
      </c>
      <c r="H94" s="42">
        <f t="shared" si="37"/>
        <v>16454.838091511887</v>
      </c>
    </row>
    <row r="95" spans="2:8" outlineLevel="1" x14ac:dyDescent="0.2">
      <c r="B95" s="21"/>
      <c r="C95" s="21"/>
      <c r="D95" s="50"/>
      <c r="E95" s="50"/>
      <c r="F95" s="50"/>
      <c r="G95" s="50"/>
      <c r="H95" s="50"/>
    </row>
    <row r="96" spans="2:8" outlineLevel="1" x14ac:dyDescent="0.2">
      <c r="B96" s="3" t="s">
        <v>118</v>
      </c>
      <c r="D96" s="42">
        <f>IFERROR(D89+D94,0)</f>
        <v>66807.965188501752</v>
      </c>
      <c r="E96" s="42">
        <f t="shared" ref="E96:H96" si="38">IFERROR(E89+E94,0)</f>
        <v>78395.880259573663</v>
      </c>
      <c r="F96" s="42">
        <f t="shared" si="38"/>
        <v>90444.042242942858</v>
      </c>
      <c r="G96" s="42">
        <f t="shared" si="38"/>
        <v>102657.29671259364</v>
      </c>
      <c r="H96" s="42">
        <f t="shared" si="38"/>
        <v>114818.71468389523</v>
      </c>
    </row>
    <row r="97" spans="1:8" outlineLevel="1" x14ac:dyDescent="0.2"/>
    <row r="98" spans="1:8" outlineLevel="1" x14ac:dyDescent="0.2">
      <c r="B98" s="2" t="s">
        <v>119</v>
      </c>
      <c r="D98" t="b">
        <f>D83=D96</f>
        <v>1</v>
      </c>
      <c r="E98" t="b">
        <f t="shared" ref="E98:H98" si="39">E83=E96</f>
        <v>1</v>
      </c>
      <c r="F98" t="b">
        <f t="shared" si="39"/>
        <v>1</v>
      </c>
      <c r="G98" t="b">
        <f t="shared" si="39"/>
        <v>1</v>
      </c>
      <c r="H98" t="b">
        <f t="shared" si="39"/>
        <v>1</v>
      </c>
    </row>
    <row r="100" spans="1:8" x14ac:dyDescent="0.2">
      <c r="A100" t="s">
        <v>88</v>
      </c>
      <c r="B100" s="65" t="s">
        <v>54</v>
      </c>
      <c r="C100" s="44"/>
      <c r="D100" s="44"/>
      <c r="E100" s="44"/>
      <c r="F100" s="44"/>
      <c r="G100" s="44"/>
      <c r="H100" s="44"/>
    </row>
    <row r="101" spans="1:8" outlineLevel="1" x14ac:dyDescent="0.2">
      <c r="B101" s="27" t="s">
        <v>121</v>
      </c>
    </row>
    <row r="102" spans="1:8" outlineLevel="1" x14ac:dyDescent="0.2">
      <c r="B102" t="s">
        <v>57</v>
      </c>
      <c r="D102" s="42">
        <f>IFERROR(D45,0)</f>
        <v>10807.960675200005</v>
      </c>
      <c r="E102" s="42">
        <f t="shared" ref="E102:H102" si="40">IFERROR(E45,0)</f>
        <v>12861.473203488002</v>
      </c>
      <c r="F102" s="42">
        <f t="shared" si="40"/>
        <v>14636.030898652803</v>
      </c>
      <c r="G102" s="42">
        <f t="shared" si="40"/>
        <v>16685.075224464195</v>
      </c>
      <c r="H102" s="42">
        <f t="shared" si="40"/>
        <v>18325.594878792155</v>
      </c>
    </row>
    <row r="103" spans="1:8" outlineLevel="1" x14ac:dyDescent="0.2">
      <c r="B103" t="s">
        <v>40</v>
      </c>
      <c r="D103" s="42">
        <f>IFERROR(-(D91-'Historical FS'!L61),0)</f>
        <v>-531.84765698630054</v>
      </c>
      <c r="E103" s="42">
        <f>IFERROR(-(E91-D91),0)</f>
        <v>-493.82653683287663</v>
      </c>
      <c r="F103" s="42">
        <f t="shared" ref="F103:H103" si="41">IFERROR(-(F91-E91),0)</f>
        <v>-588.76867101106836</v>
      </c>
      <c r="G103" s="42">
        <f t="shared" si="41"/>
        <v>-450.14041120028014</v>
      </c>
      <c r="H103" s="42">
        <f t="shared" si="41"/>
        <v>-566.24559312366364</v>
      </c>
    </row>
    <row r="104" spans="1:8" outlineLevel="1" x14ac:dyDescent="0.2">
      <c r="B104" t="s">
        <v>41</v>
      </c>
      <c r="D104" s="42">
        <f>IFERROR(-(D92-'Historical FS'!L62),0)</f>
        <v>-820.48288219177994</v>
      </c>
      <c r="E104" s="42">
        <f>IFERROR(-(E92-D92),0)</f>
        <v>-477.73172735158323</v>
      </c>
      <c r="F104" s="42">
        <f t="shared" ref="F104:H104" si="42">IFERROR(-(F92-E92),0)</f>
        <v>-437.42836034890433</v>
      </c>
      <c r="G104" s="42">
        <f t="shared" si="42"/>
        <v>-600.8443164535056</v>
      </c>
      <c r="H104" s="42">
        <f t="shared" si="42"/>
        <v>-363.75380966600369</v>
      </c>
    </row>
    <row r="105" spans="1:8" outlineLevel="1" x14ac:dyDescent="0.2">
      <c r="B105" t="s">
        <v>58</v>
      </c>
      <c r="D105" s="42">
        <f>IFERROR(Forecast!D82-'Historical FS'!L52,0)</f>
        <v>2889.1700865753373</v>
      </c>
      <c r="E105" s="42">
        <f>IFERROR(E82-D82,0)</f>
        <v>3169.1107164493151</v>
      </c>
      <c r="F105" s="42">
        <f t="shared" ref="F105:H105" si="43">IFERROR(F82-E82,0)</f>
        <v>3434.4839142312303</v>
      </c>
      <c r="G105" s="42">
        <f t="shared" si="43"/>
        <v>3259.6374604158227</v>
      </c>
      <c r="H105" s="42">
        <f t="shared" si="43"/>
        <v>3185.1314613206087</v>
      </c>
    </row>
    <row r="106" spans="1:8" outlineLevel="1" x14ac:dyDescent="0.2">
      <c r="B106" t="s">
        <v>59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</row>
    <row r="107" spans="1:8" outlineLevel="1" x14ac:dyDescent="0.2">
      <c r="B107" t="s">
        <v>60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</row>
    <row r="108" spans="1:8" outlineLevel="1" x14ac:dyDescent="0.2">
      <c r="B108" t="s">
        <v>61</v>
      </c>
      <c r="D108" s="42">
        <f>IFERROR(SUM(D103:D107),0)</f>
        <v>1536.8395473972569</v>
      </c>
      <c r="E108" s="42">
        <f t="shared" ref="E108:H108" si="44">IFERROR(SUM(E103:E107),0)</f>
        <v>2197.5524522648552</v>
      </c>
      <c r="F108" s="42">
        <f t="shared" si="44"/>
        <v>2408.2868828712576</v>
      </c>
      <c r="G108" s="42">
        <f t="shared" si="44"/>
        <v>2208.652732762037</v>
      </c>
      <c r="H108" s="42">
        <f t="shared" si="44"/>
        <v>2255.1320585309413</v>
      </c>
    </row>
    <row r="109" spans="1:8" outlineLevel="1" x14ac:dyDescent="0.2">
      <c r="B109" s="21" t="s">
        <v>62</v>
      </c>
      <c r="C109" s="21"/>
      <c r="D109" s="50">
        <f>IFERROR(-D60,0)</f>
        <v>-1865.8178689920016</v>
      </c>
      <c r="E109" s="50">
        <f t="shared" ref="E109:H109" si="45">IFERROR(-E60,0)</f>
        <v>-2194.3099886097602</v>
      </c>
      <c r="F109" s="50">
        <f t="shared" si="45"/>
        <v>-2424.2324880801675</v>
      </c>
      <c r="G109" s="50">
        <f t="shared" si="45"/>
        <v>-2707.6036894439908</v>
      </c>
      <c r="H109" s="50">
        <f t="shared" si="45"/>
        <v>-2961.722212401859</v>
      </c>
    </row>
    <row r="110" spans="1:8" outlineLevel="1" x14ac:dyDescent="0.2">
      <c r="B110" s="24" t="s">
        <v>56</v>
      </c>
      <c r="D110" s="42">
        <f>IFERROR(D102+D108+D109,0)</f>
        <v>10478.982353605261</v>
      </c>
      <c r="E110" s="42">
        <f t="shared" ref="E110:H110" si="46">IFERROR(E102+E108+E109,0)</f>
        <v>12864.715667143097</v>
      </c>
      <c r="F110" s="42">
        <f t="shared" si="46"/>
        <v>14620.085293443892</v>
      </c>
      <c r="G110" s="42">
        <f t="shared" si="46"/>
        <v>16186.124267782243</v>
      </c>
      <c r="H110" s="42">
        <f t="shared" si="46"/>
        <v>17619.004724921237</v>
      </c>
    </row>
    <row r="111" spans="1:8" outlineLevel="1" x14ac:dyDescent="0.2">
      <c r="D111" s="42"/>
      <c r="E111" s="42"/>
      <c r="F111" s="42"/>
      <c r="G111" s="42"/>
      <c r="H111" s="42"/>
    </row>
    <row r="112" spans="1:8" outlineLevel="1" x14ac:dyDescent="0.2">
      <c r="B112" s="24" t="s">
        <v>122</v>
      </c>
      <c r="D112" s="42"/>
      <c r="E112" s="42"/>
      <c r="F112" s="42"/>
      <c r="G112" s="42"/>
      <c r="H112" s="42"/>
    </row>
    <row r="113" spans="2:8" outlineLevel="1" x14ac:dyDescent="0.2">
      <c r="B113" t="s">
        <v>64</v>
      </c>
      <c r="D113" s="42">
        <f>IFERROR(-D33*D27,0)</f>
        <v>-3762.2647919999995</v>
      </c>
      <c r="E113" s="42">
        <f t="shared" ref="E113:H113" si="47">IFERROR(-E33*E27,0)</f>
        <v>-4477.0951024799988</v>
      </c>
      <c r="F113" s="42">
        <f t="shared" si="47"/>
        <v>-4721.3002898879986</v>
      </c>
      <c r="G113" s="42">
        <f t="shared" si="47"/>
        <v>-5382.2823304723188</v>
      </c>
      <c r="H113" s="42">
        <f t="shared" si="47"/>
        <v>-5787.029961723837</v>
      </c>
    </row>
    <row r="114" spans="2:8" outlineLevel="1" x14ac:dyDescent="0.2">
      <c r="B114" t="s">
        <v>65</v>
      </c>
      <c r="D114" s="42">
        <v>0</v>
      </c>
      <c r="E114" s="42">
        <v>0</v>
      </c>
      <c r="F114" s="42">
        <v>0</v>
      </c>
      <c r="G114" s="42">
        <v>0</v>
      </c>
      <c r="H114" s="42">
        <v>0</v>
      </c>
    </row>
    <row r="115" spans="2:8" outlineLevel="1" x14ac:dyDescent="0.2">
      <c r="B115" t="s">
        <v>66</v>
      </c>
      <c r="D115" s="42">
        <v>0</v>
      </c>
      <c r="E115" s="42">
        <v>0</v>
      </c>
      <c r="F115" s="42">
        <v>0</v>
      </c>
      <c r="G115" s="42">
        <v>0</v>
      </c>
      <c r="H115" s="42">
        <v>0</v>
      </c>
    </row>
    <row r="116" spans="2:8" outlineLevel="1" x14ac:dyDescent="0.2">
      <c r="B116" t="s">
        <v>67</v>
      </c>
      <c r="D116" s="42">
        <v>0</v>
      </c>
      <c r="E116" s="42">
        <v>0</v>
      </c>
      <c r="F116" s="42">
        <v>0</v>
      </c>
      <c r="G116" s="42">
        <v>0</v>
      </c>
      <c r="H116" s="42">
        <v>0</v>
      </c>
    </row>
    <row r="117" spans="2:8" outlineLevel="1" x14ac:dyDescent="0.2">
      <c r="B117" t="s">
        <v>68</v>
      </c>
      <c r="D117" s="42">
        <v>0</v>
      </c>
      <c r="E117" s="42">
        <v>0</v>
      </c>
      <c r="F117" s="42">
        <v>0</v>
      </c>
      <c r="G117" s="42">
        <v>0</v>
      </c>
      <c r="H117" s="42">
        <v>0</v>
      </c>
    </row>
    <row r="118" spans="2:8" outlineLevel="1" x14ac:dyDescent="0.2">
      <c r="B118" t="s">
        <v>69</v>
      </c>
      <c r="D118" s="42">
        <v>0</v>
      </c>
      <c r="E118" s="42">
        <v>0</v>
      </c>
      <c r="F118" s="42">
        <v>0</v>
      </c>
      <c r="G118" s="42">
        <v>0</v>
      </c>
      <c r="H118" s="42">
        <v>0</v>
      </c>
    </row>
    <row r="119" spans="2:8" outlineLevel="1" x14ac:dyDescent="0.2">
      <c r="B119" t="s">
        <v>123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</row>
    <row r="120" spans="2:8" outlineLevel="1" x14ac:dyDescent="0.2">
      <c r="B120" t="s">
        <v>124</v>
      </c>
      <c r="D120" s="42">
        <v>0</v>
      </c>
      <c r="E120" s="42">
        <v>0</v>
      </c>
      <c r="F120" s="42">
        <v>0</v>
      </c>
      <c r="G120" s="42">
        <v>0</v>
      </c>
      <c r="H120" s="42">
        <v>0</v>
      </c>
    </row>
    <row r="121" spans="2:8" outlineLevel="1" x14ac:dyDescent="0.2">
      <c r="B121" t="s">
        <v>125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</row>
    <row r="122" spans="2:8" outlineLevel="1" x14ac:dyDescent="0.2">
      <c r="B122" t="s">
        <v>73</v>
      </c>
      <c r="D122" s="42">
        <v>0</v>
      </c>
      <c r="E122" s="42">
        <v>0</v>
      </c>
      <c r="F122" s="42">
        <v>0</v>
      </c>
      <c r="G122" s="42">
        <v>0</v>
      </c>
      <c r="H122" s="42">
        <v>0</v>
      </c>
    </row>
    <row r="123" spans="2:8" outlineLevel="1" x14ac:dyDescent="0.2">
      <c r="B123" s="21" t="s">
        <v>169</v>
      </c>
      <c r="C123" s="21"/>
      <c r="D123" s="50">
        <f>IFERROR(-(D88-'Historical FS'!L58),0)</f>
        <v>-7629.2391999999963</v>
      </c>
      <c r="E123" s="50">
        <f>IFERROR(-(E88-D88),0)</f>
        <v>-8038.4438479999953</v>
      </c>
      <c r="F123" s="50">
        <f t="shared" ref="F123:H123" si="48">IFERROR(-(F88-E88),0)</f>
        <v>-8055.3668876799857</v>
      </c>
      <c r="G123" s="50">
        <f t="shared" si="48"/>
        <v>-8176.1973909951994</v>
      </c>
      <c r="H123" s="50">
        <f t="shared" si="48"/>
        <v>-7989.3128792010393</v>
      </c>
    </row>
    <row r="124" spans="2:8" outlineLevel="1" x14ac:dyDescent="0.2">
      <c r="B124" s="24" t="s">
        <v>126</v>
      </c>
      <c r="D124" s="42">
        <f>IFERROR(SUM(D113:D123),0)</f>
        <v>-11391.503991999996</v>
      </c>
      <c r="E124" s="42">
        <f t="shared" ref="E124:H124" si="49">IFERROR(SUM(E113:E123),0)</f>
        <v>-12515.538950479993</v>
      </c>
      <c r="F124" s="42">
        <f t="shared" si="49"/>
        <v>-12776.667177567984</v>
      </c>
      <c r="G124" s="42">
        <f t="shared" si="49"/>
        <v>-13558.479721467518</v>
      </c>
      <c r="H124" s="42">
        <f t="shared" si="49"/>
        <v>-13776.342840924877</v>
      </c>
    </row>
    <row r="125" spans="2:8" outlineLevel="1" x14ac:dyDescent="0.2">
      <c r="D125" s="42"/>
      <c r="E125" s="42"/>
      <c r="F125" s="42"/>
      <c r="G125" s="42"/>
      <c r="H125" s="42"/>
    </row>
    <row r="126" spans="2:8" outlineLevel="1" x14ac:dyDescent="0.2">
      <c r="B126" s="24" t="s">
        <v>127</v>
      </c>
      <c r="D126" s="42"/>
      <c r="E126" s="42"/>
      <c r="F126" s="42"/>
      <c r="G126" s="42"/>
      <c r="H126" s="42"/>
    </row>
    <row r="127" spans="2:8" outlineLevel="1" x14ac:dyDescent="0.2">
      <c r="B127" t="s">
        <v>76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</row>
    <row r="128" spans="2:8" outlineLevel="1" x14ac:dyDescent="0.2">
      <c r="B128" t="s">
        <v>77</v>
      </c>
      <c r="D128" s="42">
        <f>IFERROR(D81-'Historical FS'!L51,0)</f>
        <v>3934.9212000000043</v>
      </c>
      <c r="E128" s="42">
        <f>IFERROR(E81-D81,0)</f>
        <v>3672.593120000005</v>
      </c>
      <c r="F128" s="42">
        <f t="shared" ref="F128:H128" si="50">IFERROR(F81-E81,0)</f>
        <v>3231.8819456000056</v>
      </c>
      <c r="G128" s="42">
        <f t="shared" si="50"/>
        <v>2617.8243759360048</v>
      </c>
      <c r="H128" s="42">
        <f t="shared" si="50"/>
        <v>2312.4115320768033</v>
      </c>
    </row>
    <row r="129" spans="2:8" outlineLevel="1" x14ac:dyDescent="0.2">
      <c r="B129" t="s">
        <v>78</v>
      </c>
      <c r="D129" s="42">
        <v>0</v>
      </c>
      <c r="E129" s="42"/>
      <c r="F129" s="42"/>
      <c r="G129" s="42"/>
      <c r="H129" s="42"/>
    </row>
    <row r="130" spans="2:8" outlineLevel="1" x14ac:dyDescent="0.2">
      <c r="B130" t="s">
        <v>79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</row>
    <row r="131" spans="2:8" outlineLevel="1" x14ac:dyDescent="0.2">
      <c r="B131" t="s">
        <v>128</v>
      </c>
      <c r="D131" s="42">
        <f>IFERROR(-D48,0)</f>
        <v>-2502.6098831999998</v>
      </c>
      <c r="E131" s="42">
        <f t="shared" ref="E131:H131" si="51">IFERROR(-E48,0)</f>
        <v>-2699.3559432000011</v>
      </c>
      <c r="F131" s="42">
        <f t="shared" si="51"/>
        <v>-2856.9836399104011</v>
      </c>
      <c r="G131" s="42">
        <f t="shared" si="51"/>
        <v>-3055.8736548426255</v>
      </c>
      <c r="H131" s="42">
        <f t="shared" si="51"/>
        <v>-3223.5016757150611</v>
      </c>
    </row>
    <row r="132" spans="2:8" outlineLevel="1" x14ac:dyDescent="0.2">
      <c r="B132" t="s">
        <v>81</v>
      </c>
      <c r="D132" s="42">
        <f>IFERROR(-D71*D66,0)</f>
        <v>-959.56347548160079</v>
      </c>
      <c r="E132" s="42">
        <f t="shared" ref="E132:H132" si="52">IFERROR(-E71*E66,0)</f>
        <v>-1186.5528086556483</v>
      </c>
      <c r="F132" s="42">
        <f t="shared" si="52"/>
        <v>-1517.9424963825047</v>
      </c>
      <c r="G132" s="42">
        <f t="shared" si="52"/>
        <v>-1787.0184350330339</v>
      </c>
      <c r="H132" s="42">
        <f t="shared" si="52"/>
        <v>-2221.2916593013942</v>
      </c>
    </row>
    <row r="133" spans="2:8" outlineLevel="1" x14ac:dyDescent="0.2">
      <c r="B133" t="s">
        <v>82</v>
      </c>
      <c r="D133" s="42">
        <v>0</v>
      </c>
      <c r="E133" s="42">
        <v>0</v>
      </c>
      <c r="F133" s="42">
        <v>0</v>
      </c>
      <c r="G133" s="42">
        <v>0</v>
      </c>
      <c r="H133" s="42">
        <v>0</v>
      </c>
    </row>
    <row r="134" spans="2:8" outlineLevel="1" x14ac:dyDescent="0.2">
      <c r="B134" s="21" t="s">
        <v>83</v>
      </c>
      <c r="C134" s="21"/>
      <c r="D134" s="50">
        <v>0</v>
      </c>
      <c r="E134" s="50">
        <v>0</v>
      </c>
      <c r="F134" s="50">
        <v>0</v>
      </c>
      <c r="G134" s="50">
        <v>0</v>
      </c>
      <c r="H134" s="50">
        <v>0</v>
      </c>
    </row>
    <row r="135" spans="2:8" outlineLevel="1" x14ac:dyDescent="0.2">
      <c r="B135" s="24" t="s">
        <v>129</v>
      </c>
      <c r="D135" s="42">
        <f>IFERROR(SUM(D127:D134),0)</f>
        <v>472.74784131840374</v>
      </c>
      <c r="E135" s="42">
        <f t="shared" ref="E135:H135" si="53">IFERROR(SUM(E127:E134),0)</f>
        <v>-213.31563185564437</v>
      </c>
      <c r="F135" s="42">
        <f t="shared" si="53"/>
        <v>-1143.0441906929002</v>
      </c>
      <c r="G135" s="42">
        <f t="shared" si="53"/>
        <v>-2225.0677139396548</v>
      </c>
      <c r="H135" s="42">
        <f t="shared" si="53"/>
        <v>-3132.3818029396521</v>
      </c>
    </row>
    <row r="136" spans="2:8" outlineLevel="1" x14ac:dyDescent="0.2">
      <c r="B136" s="21"/>
      <c r="C136" s="21"/>
      <c r="D136" s="50"/>
      <c r="E136" s="50"/>
      <c r="F136" s="50"/>
      <c r="G136" s="50"/>
      <c r="H136" s="50"/>
    </row>
    <row r="137" spans="2:8" outlineLevel="1" x14ac:dyDescent="0.2">
      <c r="B137" s="24" t="s">
        <v>50</v>
      </c>
      <c r="D137" s="42">
        <f>IFERROR(D110+D124+D135,0)</f>
        <v>-439.77379707633168</v>
      </c>
      <c r="E137" s="42">
        <f t="shared" ref="E137:H137" si="54">IFERROR(E110+E124+E135,0)</f>
        <v>135.86108480745906</v>
      </c>
      <c r="F137" s="42">
        <f t="shared" si="54"/>
        <v>700.37392518300726</v>
      </c>
      <c r="G137" s="42">
        <f t="shared" si="54"/>
        <v>402.5768323750699</v>
      </c>
      <c r="H137" s="42">
        <f t="shared" si="54"/>
        <v>710.28008105670733</v>
      </c>
    </row>
  </sheetData>
  <mergeCells count="1">
    <mergeCell ref="B3:H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 Sheet</vt:lpstr>
      <vt:lpstr>Cash Flow Sheet</vt:lpstr>
      <vt:lpstr>Historical FS</vt:lpstr>
      <vt:lpstr>Ratio Analysis</vt:lpstr>
      <vt:lpstr>Drivers</vt:lpstr>
      <vt:lpstr>Forecast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Ojasvi Kumar</dc:creator>
  <dc:description/>
  <cp:lastModifiedBy>Ojasvi Kumar</cp:lastModifiedBy>
  <cp:revision>0</cp:revision>
  <dcterms:created xsi:type="dcterms:W3CDTF">2026-07-29T11:38:38Z</dcterms:created>
  <dcterms:modified xsi:type="dcterms:W3CDTF">2026-08-19T10:56:38Z</dcterms:modified>
  <dc:language>en-US</dc:language>
</cp:coreProperties>
</file>